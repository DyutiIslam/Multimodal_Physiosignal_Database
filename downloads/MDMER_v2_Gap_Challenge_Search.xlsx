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9d97fbe69f4339" /></Relationships>
</file>

<file path=xl/workbook.xml><?xml version="1.0" encoding="utf-8"?>
<x:workbook xmlns:x="http://schemas.openxmlformats.org/spreadsheetml/2006/main">
  <x:sheets>
    <x:sheet xmlns:r="http://schemas.openxmlformats.org/officeDocument/2006/relationships" name="README" sheetId="1" r:id="Ref221de26ba94d6f"/>
    <x:sheet xmlns:r="http://schemas.openxmlformats.org/officeDocument/2006/relationships" name="Master_Evidence" sheetId="2" r:id="R3ef46c9890dd4cd8"/>
    <x:sheet xmlns:r="http://schemas.openxmlformats.org/officeDocument/2006/relationships" name="Datasets" sheetId="3" r:id="R0da7df9bd9cb4731"/>
    <x:sheet xmlns:r="http://schemas.openxmlformats.org/officeDocument/2006/relationships" name="Experimental_Studies" sheetId="4" r:id="R74a9c7691c89417a"/>
    <x:sheet xmlns:r="http://schemas.openxmlformats.org/officeDocument/2006/relationships" name="Reviews_Methods" sheetId="5" r:id="R1ea7d615d52c4301"/>
    <x:sheet xmlns:r="http://schemas.openxmlformats.org/officeDocument/2006/relationships" name="ARL_Comparison" sheetId="6" r:id="R58ed1761c31749b7"/>
    <x:sheet xmlns:r="http://schemas.openxmlformats.org/officeDocument/2006/relationships" name="Screening_Log" sheetId="7" r:id="R23f7315bfba14212"/>
    <x:sheet xmlns:r="http://schemas.openxmlformats.org/officeDocument/2006/relationships" name="Search_Strategy" sheetId="8" r:id="R95ed6db7d0bb49c8"/>
    <x:sheet xmlns:r="http://schemas.openxmlformats.org/officeDocument/2006/relationships" name="Taxonomy" sheetId="9" r:id="Rb14330c6e7234ac8"/>
    <x:sheet xmlns:r="http://schemas.openxmlformats.org/officeDocument/2006/relationships" name="Data_Dictionary" sheetId="10" r:id="R88ac460ec9824c36"/>
    <x:sheet xmlns:r="http://schemas.openxmlformats.org/officeDocument/2006/relationships" name="Dashboard" sheetId="11" r:id="R440ca2c82d504c89"/>
    <x:sheet xmlns:r="http://schemas.openxmlformats.org/officeDocument/2006/relationships" name="Pilot_Audit_5" sheetId="12" r:id="R631be27b4aa947d6"/>
    <x:sheet xmlns:r="http://schemas.openxmlformats.org/officeDocument/2006/relationships" name="Direct_Comparator_Audit_25" sheetId="13" r:id="R7023f918293d4553"/>
    <x:sheet xmlns:r="http://schemas.openxmlformats.org/officeDocument/2006/relationships" name="Evidence_Gap_Summary" sheetId="14" r:id="Ra6260682263a49b4"/>
    <x:sheet xmlns:r="http://schemas.openxmlformats.org/officeDocument/2006/relationships" name="Direct_Comparator_Audit_50" sheetId="15" r:id="Ref628fbafa5c495c"/>
    <x:sheet xmlns:r="http://schemas.openxmlformats.org/officeDocument/2006/relationships" name="Evidence_Gap_Summary_50" sheetId="16" r:id="R7f1368be12e44341"/>
    <x:sheet xmlns:r="http://schemas.openxmlformats.org/officeDocument/2006/relationships" name="Gap_Challenge_Search" sheetId="17" r:id="R6975f931c7d346ed"/>
    <x:sheet xmlns:r="http://schemas.openxmlformats.org/officeDocument/2006/relationships" name="Gap_Challenge_Verdict" sheetId="18" r:id="R2e27558916e14b8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13">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1F4E78"/>
      </x:patternFill>
    </x:fill>
    <x:fill>
      <x:patternFill patternType="solid">
        <x:fgColor rgb="FF7030A0"/>
      </x:patternFill>
    </x:fill>
    <x:fill>
      <x:patternFill patternType="solid">
        <x:fgColor rgb="FF17365D"/>
      </x:patternFill>
    </x:fill>
    <x:fill>
      <x:patternFill patternType="solid">
        <x:fgColor rgb="FF7030A0"/>
      </x:patternFill>
    </x:fill>
    <x:fill>
      <x:patternFill patternType="solid">
        <x:fgColor rgb="FF17365D"/>
      </x:patternFill>
    </x:fill>
    <x:fill>
      <x:patternFill patternType="solid">
        <x:fgColor rgb="FF7030A0"/>
      </x:patternFill>
    </x:fill>
    <x:fill>
      <x:patternFill patternType="solid">
        <x:fgColor rgb="FF1F4E78"/>
      </x:patternFill>
    </x:fill>
    <x:fill>
      <x:patternFill patternType="solid">
        <x:fgColor rgb="FF9E480E"/>
      </x:patternFill>
    </x:fill>
    <x:fill>
      <x:patternFill patternType="solid">
        <x:fgColor rgb="FF7030A0"/>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0" borderId="0" xfId="0" applyNumberFormat="1" applyFont="1" applyFill="1" applyBorder="1"/>
    <x:xf numFmtId="0" fontId="1" fillId="0"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5"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7" borderId="0" xfId="0" applyNumberFormat="1" applyFont="1" applyFill="1" applyBorder="1"/>
    <x:xf numFmtId="0" fontId="1" fillId="7"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top" wrapText="1"/>
    </x:xf>
    <x:xf numFmtId="0" fontId="1" fillId="5" borderId="0" xfId="0" applyNumberFormat="1" applyFont="1" applyFill="1" applyBorder="1" applyAlignment="1">
      <x:alignment wrapText="1"/>
    </x:xf>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top" wrapText="1"/>
    </x:xf>
    <x:xf numFmtId="0" fontId="1" fillId="9" borderId="0" xfId="0" applyNumberFormat="1" applyFont="1" applyFill="1" applyBorder="1"/>
    <x:xf numFmtId="0" fontId="1" fillId="9" borderId="0" xfId="0" applyNumberFormat="1" applyFont="1" applyFill="1" applyBorder="1" applyAlignment="1">
      <x:alignment wrapText="1"/>
    </x:xf>
    <x:xf numFmtId="0" fontId="1" fillId="10"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 fillId="12" borderId="0" xfId="0" applyNumberFormat="1" applyFont="1" applyFill="1" applyBorder="1"/>
    <x:xf numFmtId="0" fontId="1" fillId="12" borderId="0" xfId="0" applyNumberFormat="1" applyFont="1" applyFill="1" applyBorder="1" applyAlignment="1">
      <x:alignment wrapText="1"/>
    </x:xf>
  </x:cellXfs>
  <x:cellStyles count="1">
    <x:cellStyle name="Normal" xfId="0"/>
  </x:cellStyles>
  <x:dxfs count="24">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
      <x:font>
        <x:color rgb="FF375623"/>
      </x:font>
      <x:fill>
        <x:patternFill>
          <x:bgColor rgb="FFE2F0D9"/>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e6531b362347d5" /><Relationship Type="http://schemas.openxmlformats.org/officeDocument/2006/relationships/theme" Target="/xl/theme/theme1.xml" Id="R65c524ce551f4c68" /><Relationship Type="http://schemas.openxmlformats.org/officeDocument/2006/relationships/sharedStrings" Target="/xl/sharedStrings.xml" Id="R3cd362bb973b4d9e" /><Relationship Type="http://schemas.openxmlformats.org/officeDocument/2006/relationships/worksheet" Target="/xl/worksheets/sheet1.xml" Id="Ref221de26ba94d6f" /><Relationship Type="http://schemas.openxmlformats.org/officeDocument/2006/relationships/worksheet" Target="/xl/worksheets/sheet2.xml" Id="R3ef46c9890dd4cd8" /><Relationship Type="http://schemas.openxmlformats.org/officeDocument/2006/relationships/worksheet" Target="/xl/worksheets/sheet3.xml" Id="R0da7df9bd9cb4731" /><Relationship Type="http://schemas.openxmlformats.org/officeDocument/2006/relationships/worksheet" Target="/xl/worksheets/sheet4.xml" Id="R74a9c7691c89417a" /><Relationship Type="http://schemas.openxmlformats.org/officeDocument/2006/relationships/worksheet" Target="/xl/worksheets/sheet5.xml" Id="R1ea7d615d52c4301" /><Relationship Type="http://schemas.openxmlformats.org/officeDocument/2006/relationships/worksheet" Target="/xl/worksheets/sheet6.xml" Id="R58ed1761c31749b7" /><Relationship Type="http://schemas.openxmlformats.org/officeDocument/2006/relationships/worksheet" Target="/xl/worksheets/sheet7.xml" Id="R23f7315bfba14212" /><Relationship Type="http://schemas.openxmlformats.org/officeDocument/2006/relationships/worksheet" Target="/xl/worksheets/sheet8.xml" Id="R95ed6db7d0bb49c8" /><Relationship Type="http://schemas.openxmlformats.org/officeDocument/2006/relationships/worksheet" Target="/xl/worksheets/sheet9.xml" Id="Rb14330c6e7234ac8" /><Relationship Type="http://schemas.openxmlformats.org/officeDocument/2006/relationships/worksheet" Target="/xl/worksheets/sheet10.xml" Id="R88ac460ec9824c36" /><Relationship Type="http://schemas.openxmlformats.org/officeDocument/2006/relationships/worksheet" Target="/xl/worksheets/sheet11.xml" Id="R440ca2c82d504c89" /><Relationship Type="http://schemas.openxmlformats.org/officeDocument/2006/relationships/worksheet" Target="/xl/worksheets/sheet12.xml" Id="R631be27b4aa947d6" /><Relationship Type="http://schemas.openxmlformats.org/officeDocument/2006/relationships/worksheet" Target="/xl/worksheets/sheet13.xml" Id="R7023f918293d4553" /><Relationship Type="http://schemas.openxmlformats.org/officeDocument/2006/relationships/worksheet" Target="/xl/worksheets/sheet14.xml" Id="Ra6260682263a49b4" /><Relationship Type="http://schemas.openxmlformats.org/officeDocument/2006/relationships/worksheet" Target="/xl/worksheets/sheet15.xml" Id="Ref628fbafa5c495c" /><Relationship Type="http://schemas.openxmlformats.org/officeDocument/2006/relationships/worksheet" Target="/xl/worksheets/sheet16.xml" Id="R7f1368be12e44341" /><Relationship Type="http://schemas.openxmlformats.org/officeDocument/2006/relationships/worksheet" Target="/xl/worksheets/sheet17.xml" Id="R6975f931c7d346ed" /><Relationship Type="http://schemas.openxmlformats.org/officeDocument/2006/relationships/worksheet" Target="/xl/worksheets/sheet18.xml" Id="R2e27558916e14b8f" /></Relationships>
</file>

<file path=xl/tables/table1.xml><?xml version="1.0" encoding="utf-8"?>
<x:table xmlns:x="http://schemas.openxmlformats.org/spreadsheetml/2006/main" id="1" name="MasterEvidenceTable" displayName="MasterEvidenceTable" ref="A1:Y151" headerRowCount="1" totalsRowCount="0" totalsRowShown="0">
  <x:tableColumns count="25">
    <x:tableColumn id="1" name="Record ID"/>
    <x:tableColumn id="2" name="Evidence Relevance Tier"/>
    <x:tableColumn id="3" name="Primary Category"/>
    <x:tableColumn id="4" name="Record Type"/>
    <x:tableColumn id="5" name="Title / Dataset"/>
    <x:tableColumn id="6" name="Year"/>
    <x:tableColumn id="7" name="Primary Authors / Source"/>
    <x:tableColumn id="8" name="Institution / Dataset Owner"/>
    <x:tableColumn id="9" name="Modalities / Signals"/>
    <x:tableColumn id="10" name="Interaction Level"/>
    <x:tableColumn id="11" name="Task / Paradigm"/>
    <x:tableColumn id="12" name="Access Status"/>
    <x:tableColumn id="13" name="Dataset / Access URL"/>
    <x:tableColumn id="14" name="Paper / Reference URL"/>
    <x:tableColumn id="15" name="Evidence Role"/>
    <x:tableColumn id="16" name="Relevance to Synchronized Decision-Making"/>
    <x:tableColumn id="17" name="Key Difference vs Proposed ARL Dataset"/>
    <x:tableColumn id="18" name="Priority"/>
    <x:tableColumn id="19" name="Verification Status"/>
    <x:tableColumn id="20" name="Reading Status"/>
    <x:tableColumn id="21" name="Discovery Method"/>
    <x:tableColumn id="22" name="Systematic Review Eligibility"/>
    <x:tableColumn id="23" name="Exclusion Reason"/>
    <x:tableColumn id="24" name="Notes"/>
    <x:tableColumn id="25" name="Source Verified Date"/>
  </x:tableColumns>
  <x:tableStyleInfo name="TableStyleMedium2" showFirstColumn="0" showLastColumn="0" showRowStripes="1" showColumnStripes="0"/>
</x:table>
</file>

<file path=xl/tables/table2.xml><?xml version="1.0" encoding="utf-8"?>
<x:table xmlns:x="http://schemas.openxmlformats.org/spreadsheetml/2006/main" id="2" name="DatasetsTable" displayName="DatasetsTable" ref="A1:Y70" headerRowCount="1" totalsRowCount="0" totalsRowShown="0">
  <x:tableColumns count="25">
    <x:tableColumn id="1" name="Record ID"/>
    <x:tableColumn id="2" name="Evidence Relevance Tier"/>
    <x:tableColumn id="3" name="Primary Category"/>
    <x:tableColumn id="4" name="Record Type"/>
    <x:tableColumn id="5" name="Title / Dataset"/>
    <x:tableColumn id="6" name="Year"/>
    <x:tableColumn id="7" name="Primary Authors / Source"/>
    <x:tableColumn id="8" name="Institution / Dataset Owner"/>
    <x:tableColumn id="9" name="Modalities / Signals"/>
    <x:tableColumn id="10" name="Interaction Level"/>
    <x:tableColumn id="11" name="Task / Paradigm"/>
    <x:tableColumn id="12" name="Access Status"/>
    <x:tableColumn id="13" name="Dataset / Access URL"/>
    <x:tableColumn id="14" name="Paper / Reference URL"/>
    <x:tableColumn id="15" name="Evidence Role"/>
    <x:tableColumn id="16" name="Relevance to Synchronized Decision-Making"/>
    <x:tableColumn id="17" name="Key Difference vs Proposed ARL Dataset"/>
    <x:tableColumn id="18" name="Priority"/>
    <x:tableColumn id="19" name="Verification Status"/>
    <x:tableColumn id="20" name="Reading Status"/>
    <x:tableColumn id="21" name="Discovery Method"/>
    <x:tableColumn id="22" name="Systematic Review Eligibility"/>
    <x:tableColumn id="23" name="Exclusion Reason"/>
    <x:tableColumn id="24" name="Notes"/>
    <x:tableColumn id="25" name="Source Verified Date"/>
  </x:tableColumns>
  <x:tableStyleInfo name="TableStyleMedium2" showFirstColumn="0" showLastColumn="0" showRowStripes="1" showColumnStripes="0"/>
</x:table>
</file>

<file path=xl/tables/table3.xml><?xml version="1.0" encoding="utf-8"?>
<x:table xmlns:x="http://schemas.openxmlformats.org/spreadsheetml/2006/main" id="3" name="ExperimentalStudiesTable" displayName="ExperimentalStudiesTable" ref="A1:Y63" headerRowCount="1" totalsRowCount="0" totalsRowShown="0">
  <x:tableColumns count="25">
    <x:tableColumn id="1" name="Record ID"/>
    <x:tableColumn id="2" name="Evidence Relevance Tier"/>
    <x:tableColumn id="3" name="Primary Category"/>
    <x:tableColumn id="4" name="Record Type"/>
    <x:tableColumn id="5" name="Title / Dataset"/>
    <x:tableColumn id="6" name="Year"/>
    <x:tableColumn id="7" name="Primary Authors / Source"/>
    <x:tableColumn id="8" name="Institution / Dataset Owner"/>
    <x:tableColumn id="9" name="Modalities / Signals"/>
    <x:tableColumn id="10" name="Interaction Level"/>
    <x:tableColumn id="11" name="Task / Paradigm"/>
    <x:tableColumn id="12" name="Access Status"/>
    <x:tableColumn id="13" name="Dataset / Access URL"/>
    <x:tableColumn id="14" name="Paper / Reference URL"/>
    <x:tableColumn id="15" name="Evidence Role"/>
    <x:tableColumn id="16" name="Relevance to Synchronized Decision-Making"/>
    <x:tableColumn id="17" name="Key Difference vs Proposed ARL Dataset"/>
    <x:tableColumn id="18" name="Priority"/>
    <x:tableColumn id="19" name="Verification Status"/>
    <x:tableColumn id="20" name="Reading Status"/>
    <x:tableColumn id="21" name="Discovery Method"/>
    <x:tableColumn id="22" name="Systematic Review Eligibility"/>
    <x:tableColumn id="23" name="Exclusion Reason"/>
    <x:tableColumn id="24" name="Notes"/>
    <x:tableColumn id="25" name="Source Verified Date"/>
  </x:tableColumns>
  <x:tableStyleInfo name="TableStyleMedium2" showFirstColumn="0" showLastColumn="0" showRowStripes="1" showColumnStripes="0"/>
</x:table>
</file>

<file path=xl/tables/table4.xml><?xml version="1.0" encoding="utf-8"?>
<x:table xmlns:x="http://schemas.openxmlformats.org/spreadsheetml/2006/main" id="4" name="ReviewsMethodsTable" displayName="ReviewsMethodsTable" ref="A1:Y18" headerRowCount="1" totalsRowCount="0" totalsRowShown="0">
  <x:tableColumns count="25">
    <x:tableColumn id="1" name="Record ID"/>
    <x:tableColumn id="2" name="Evidence Relevance Tier"/>
    <x:tableColumn id="3" name="Primary Category"/>
    <x:tableColumn id="4" name="Record Type"/>
    <x:tableColumn id="5" name="Title / Dataset"/>
    <x:tableColumn id="6" name="Year"/>
    <x:tableColumn id="7" name="Primary Authors / Source"/>
    <x:tableColumn id="8" name="Institution / Dataset Owner"/>
    <x:tableColumn id="9" name="Modalities / Signals"/>
    <x:tableColumn id="10" name="Interaction Level"/>
    <x:tableColumn id="11" name="Task / Paradigm"/>
    <x:tableColumn id="12" name="Access Status"/>
    <x:tableColumn id="13" name="Dataset / Access URL"/>
    <x:tableColumn id="14" name="Paper / Reference URL"/>
    <x:tableColumn id="15" name="Evidence Role"/>
    <x:tableColumn id="16" name="Relevance to Synchronized Decision-Making"/>
    <x:tableColumn id="17" name="Key Difference vs Proposed ARL Dataset"/>
    <x:tableColumn id="18" name="Priority"/>
    <x:tableColumn id="19" name="Verification Status"/>
    <x:tableColumn id="20" name="Reading Status"/>
    <x:tableColumn id="21" name="Discovery Method"/>
    <x:tableColumn id="22" name="Systematic Review Eligibility"/>
    <x:tableColumn id="23" name="Exclusion Reason"/>
    <x:tableColumn id="24" name="Notes"/>
    <x:tableColumn id="25" name="Source Verified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d74c66bdce4615" /></Relationships>
</file>

<file path=xl/worksheets/_rels/sheet3.xml.rels>&#65279;<?xml version="1.0" encoding="utf-8"?><Relationships xmlns="http://schemas.openxmlformats.org/package/2006/relationships"><Relationship Type="http://schemas.openxmlformats.org/officeDocument/2006/relationships/table" Target="/xl/tables/table2.xml" Id="R77ec11d92092471f" /></Relationships>
</file>

<file path=xl/worksheets/_rels/sheet4.xml.rels>&#65279;<?xml version="1.0" encoding="utf-8"?><Relationships xmlns="http://schemas.openxmlformats.org/package/2006/relationships"><Relationship Type="http://schemas.openxmlformats.org/officeDocument/2006/relationships/table" Target="/xl/tables/table3.xml" Id="Rcdc4d718076b401b" /></Relationships>
</file>

<file path=xl/worksheets/_rels/sheet5.xml.rels>&#65279;<?xml version="1.0" encoding="utf-8"?><Relationships xmlns="http://schemas.openxmlformats.org/package/2006/relationships"><Relationship Type="http://schemas.openxmlformats.org/officeDocument/2006/relationships/table" Target="/xl/tables/table4.xml" Id="Ree4f052d8a62442c" /></Relationships>
</file>

<file path=xl/worksheets/sheet1.xml><?xml version="1.0" encoding="utf-8"?>
<x:worksheet xmlns:x="http://schemas.openxmlformats.org/spreadsheetml/2006/main">
  <x:sheetFormatPr defaultRowHeight="15"/>
  <x:cols>
    <x:col min="1" max="1" width="28" hidden="0" customWidth="1"/>
    <x:col min="2" max="2" width="85" hidden="0" customWidth="1"/>
  </x:cols>
  <x:sheetData>
    <x:row r="1">
      <x:c r="A1" s="18" t="str">
        <x:v>MDMER v2.0 — Multimodal Decision-Making Evidence Repository</x:v>
      </x:c>
      <x:c r="B1" s="18" t="str"/>
      <x:c r="C1" s="18"/>
      <x:c r="D1" s="18"/>
      <x:c r="E1" s="16"/>
      <x:c r="F1" s="16"/>
      <x:c r="G1" s="16"/>
      <x:c r="H1" s="16"/>
      <x:c r="I1" s="16"/>
      <x:c r="J1" s="16"/>
      <x:c r="K1" s="16"/>
      <x:c r="L1" s="16"/>
      <x:c r="M1" s="16"/>
      <x:c r="N1" s="16"/>
      <x:c r="O1" s="16"/>
      <x:c r="P1" s="16"/>
      <x:c r="Q1" s="16"/>
      <x:c r="R1" s="16"/>
      <x:c r="S1" s="16"/>
      <x:c r="T1" s="16"/>
      <x:c r="U1" s="16"/>
      <x:c r="V1" s="16"/>
      <x:c r="W1" s="16"/>
      <x:c r="X1" s="16"/>
      <x:c r="Y1" s="16"/>
      <x:c r="Z1" s="16"/>
    </x:row>
    <x:row r="2">
      <x:c r="A2" t="str">
        <x:v>Purpose</x:v>
      </x:c>
      <x:c r="B2" t="str">
        <x:v>Structured evidence map of multimodal physiological datasets and experimental studies relevant to synchronized decision-making.</x:v>
      </x:c>
    </x:row>
    <x:row r="3">
      <x:c r="A3" t="str">
        <x:v>Primary research use</x:v>
      </x:c>
      <x:c r="B3" t="str">
        <x:v>Evaluate how the proposed ARL multimodal decision-making dataset compares with existing external datasets and studies.</x:v>
      </x:c>
    </x:row>
    <x:row r="4">
      <x:c r="A4" t="str">
        <x:v>Important ownership note</x:v>
      </x:c>
      <x:c r="B4" t="str">
        <x:v>Records describe work by their original authors/institutions. Inclusion does not imply ARL ownership or authorship.</x:v>
      </x:c>
    </x:row>
    <x:row r="5">
      <x:c r="A5" t="str">
        <x:v>Current corpus</x:v>
      </x:c>
      <x:c r="B5" t="str">
        <x:v>150 candidate/curated records: 50 legacy + 100 expansion records.</x:v>
      </x:c>
    </x:row>
    <x:row r="6">
      <x:c r="A6" t="str">
        <x:v>Evidence model</x:v>
      </x:c>
      <x:c r="B6" t="str">
        <x:v>Neutral literature database first; ARL comparison is a separate analytical layer.</x:v>
      </x:c>
    </x:row>
    <x:row r="7">
      <x:c r="A7" t="str">
        <x:v>Tier 1</x:v>
      </x:c>
      <x:c r="B7" t="str">
        <x:v>Core/direct comparators and must-read evidence.</x:v>
      </x:c>
    </x:row>
    <x:row r="8">
      <x:c r="A8" t="str">
        <x:v>Tier 2</x:v>
      </x:c>
      <x:c r="B8" t="str">
        <x:v>Social and group interaction evidence.</x:v>
      </x:c>
    </x:row>
    <x:row r="9">
      <x:c r="A9" t="str">
        <x:v>Tier 3</x:v>
      </x:c>
      <x:c r="B9" t="str">
        <x:v>Decision-making, uncertainty, deception and trust evidence.</x:v>
      </x:c>
    </x:row>
    <x:row r="10">
      <x:c r="A10" t="str">
        <x:v>Tier 4</x:v>
      </x:c>
      <x:c r="B10" t="str">
        <x:v>Modality/measurement comparators and broader multimodal datasets.</x:v>
      </x:c>
    </x:row>
    <x:row r="11">
      <x:c r="A11" t="str">
        <x:v>Tier 5</x:v>
      </x:c>
      <x:c r="B11" t="str">
        <x:v>Acquisition, synchronization, data standards and infrastructure.</x:v>
      </x:c>
    </x:row>
    <x:row r="12">
      <x:c r="A12" t="str">
        <x:v>Verification warning</x:v>
      </x:c>
      <x:c r="B12" t="str">
        <x:v>New expansion records marked 'Candidate — needs primary-source verification' must be audited before systematic-review claims.</x:v>
      </x:c>
    </x:row>
    <x:row r="13">
      <x:c r="A13" t="str">
        <x:v>Systematic review status</x:v>
      </x:c>
      <x:c r="B13" t="str">
        <x:v>This is not yet a PRISMA-screened systematic-review corpus.</x:v>
      </x:c>
    </x:row>
    <x:row r="14">
      <x:c r="A14" t="str">
        <x:v>Recommended workflow</x:v>
      </x:c>
      <x:c r="B14" t="str">
        <x:v>Discover → verify primary source → classify → extract → compare with ARL → publish selected metadata.</x:v>
      </x:c>
    </x:row>
    <x:row r="15">
      <x:c r="A15" t="str">
        <x:v>Version</x:v>
      </x:c>
      <x:c r="B15" t="str">
        <x:v>2.0</x:v>
      </x:c>
    </x:row>
    <x:row r="16">
      <x:c r="A16" t="str">
        <x:v>Updated</x:v>
      </x:c>
      <x:c r="B16" t="str">
        <x:v>2026-08-25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7" hidden="0" customWidth="1"/>
    <x:col min="3" max="3" width="24" hidden="0" customWidth="1"/>
    <x:col min="4" max="4" width="16" hidden="0" customWidth="1"/>
    <x:col min="5" max="5" width="42" hidden="0" customWidth="1"/>
    <x:col min="6" max="6" width="9" hidden="0" customWidth="1"/>
    <x:col min="7" max="7" width="22" hidden="0" customWidth="1"/>
    <x:col min="8" max="8" width="22" hidden="0" customWidth="1"/>
    <x:col min="9" max="9" width="30" hidden="0" customWidth="1"/>
    <x:col min="10" max="10" width="18" hidden="0" customWidth="1"/>
    <x:col min="11" max="11" width="28" hidden="0" customWidth="1"/>
    <x:col min="12" max="12" width="18" hidden="0" customWidth="1"/>
    <x:col min="13" max="13" width="34" hidden="0" customWidth="1"/>
    <x:col min="14" max="14" width="34" hidden="0" customWidth="1"/>
    <x:col min="15" max="15" width="25" hidden="0" customWidth="1"/>
    <x:col min="16" max="16" width="38" hidden="0" customWidth="1"/>
    <x:col min="17" max="17" width="38" hidden="0" customWidth="1"/>
    <x:col min="18" max="18" width="12" hidden="0" customWidth="1"/>
    <x:col min="19" max="19" width="26" hidden="0" customWidth="1"/>
    <x:col min="20" max="20" width="16" hidden="0" customWidth="1"/>
    <x:col min="21" max="21" width="20" hidden="0" customWidth="1"/>
    <x:col min="22" max="22" width="20" hidden="0" customWidth="1"/>
    <x:col min="23" max="23" width="22" hidden="0" customWidth="1"/>
    <x:col min="24" max="24" width="32" hidden="0" customWidth="1"/>
    <x:col min="25" max="25" width="16" hidden="0" customWidth="1"/>
  </x:cols>
  <x:sheetData>
    <x:row r="1">
      <x:c r="A1" s="5" t="str">
        <x:v>Record ID</x:v>
      </x:c>
      <x:c r="B1" s="5" t="str">
        <x:v>Evidence Relevance Tier</x:v>
      </x:c>
      <x:c r="C1" s="5" t="str">
        <x:v>Primary Category</x:v>
      </x:c>
      <x:c r="D1" s="5" t="str">
        <x:v>Record Type</x:v>
      </x:c>
      <x:c r="E1" s="5" t="str">
        <x:v>Title / Dataset</x:v>
      </x:c>
      <x:c r="F1" s="5" t="str">
        <x:v>Year</x:v>
      </x:c>
      <x:c r="G1" s="5" t="str">
        <x:v>Primary Authors / Source</x:v>
      </x:c>
      <x:c r="H1" s="5" t="str">
        <x:v>Institution / Dataset Owner</x:v>
      </x:c>
      <x:c r="I1" s="5" t="str">
        <x:v>Modalities / Signals</x:v>
      </x:c>
      <x:c r="J1" s="5" t="str">
        <x:v>Interaction Level</x:v>
      </x:c>
      <x:c r="K1" s="5" t="str">
        <x:v>Task / Paradigm</x:v>
      </x:c>
      <x:c r="L1" s="5" t="str">
        <x:v>Access Status</x:v>
      </x:c>
      <x:c r="M1" s="5" t="str">
        <x:v>Dataset / Access URL</x:v>
      </x:c>
      <x:c r="N1" s="5" t="str">
        <x:v>Paper / Reference URL</x:v>
      </x:c>
      <x:c r="O1" s="5" t="str">
        <x:v>Evidence Role</x:v>
      </x:c>
      <x:c r="P1" s="5" t="str">
        <x:v>Relevance to Synchronized Decision-Making</x:v>
      </x:c>
      <x:c r="Q1" s="5" t="str">
        <x:v>Key Difference vs Proposed ARL Dataset</x:v>
      </x:c>
      <x:c r="R1" s="5" t="str">
        <x:v>Priority</x:v>
      </x:c>
      <x:c r="S1" s="5" t="str">
        <x:v>Verification Status</x:v>
      </x:c>
      <x:c r="T1" s="5" t="str">
        <x:v>Reading Status</x:v>
      </x:c>
      <x:c r="U1" s="5" t="str">
        <x:v>Discovery Method</x:v>
      </x:c>
      <x:c r="V1" s="5" t="str">
        <x:v>Systematic Review Eligibility</x:v>
      </x:c>
      <x:c r="W1" s="5" t="str">
        <x:v>Exclusion Reason</x:v>
      </x:c>
      <x:c r="X1" s="5" t="str">
        <x:v>Notes</x:v>
      </x:c>
      <x:c r="Y1" s="5" t="str">
        <x:v>Source Verified Date</x:v>
      </x:c>
    </x:row>
    <x:row r="2">
      <x:c r="A2" s="16" t="str">
        <x:v>MDMER-0001</x:v>
      </x:c>
      <x:c r="B2" s="16" t="str">
        <x:v>Tier 1</x:v>
      </x:c>
      <x:c r="C2" s="16" t="str">
        <x:v>Core multimodal datasets</x:v>
      </x:c>
      <x:c r="D2" s="16" t="str">
        <x:v>Dataset paper</x:v>
      </x:c>
      <x:c r="E2" s="16" t="str">
        <x:v>AMIGOS: A Dataset for Affect, Personality and Mood Research on Individuals and Groups</x:v>
      </x:c>
      <x:c r="F2" s="16" t="n">
        <x:v>2017</x:v>
      </x:c>
      <x:c r="G2" s="16" t="str">
        <x:v>Miranda-Correa et al.</x:v>
      </x:c>
      <x:c r="H2" s="16" t="str"/>
      <x:c r="I2" s="16" t="str">
        <x:v>EEG; ECG; GSR; frontal HD video; RGB/depth video</x:v>
      </x:c>
      <x:c r="J2" s="16" t="str">
        <x:v>Individual + groups</x:v>
      </x:c>
      <x:c r="K2" s="16" t="str">
        <x:v>Affective video viewing</x:v>
      </x:c>
      <x:c r="L2" s="16" t="str">
        <x:v>Registration/public academic</x:v>
      </x:c>
      <x:c r="M2" s="16" t="str">
        <x:v>http://www.eecs.qmul.ac.uk/mmv/datasets/amigos/download.html</x:v>
      </x:c>
      <x:c r="N2" s="16" t="str">
        <x:v>https://arxiv.org/abs/1702.02510</x:v>
      </x:c>
      <x:c r="O2" s="16" t="str">
        <x:v>Direct comparator</x:v>
      </x:c>
      <x:c r="P2" s="16" t="str">
        <x:v>Closest prior dataset combining wearable physiology with group context.</x:v>
      </x:c>
      <x:c r="Q2" s="16" t="str">
        <x:v>No eye tracking, EMG, individual microphones, social deduction, voting, confidence, or reasoning rounds.</x:v>
      </x:c>
      <x:c r="R2" s="16" t="str">
        <x:v>Must read</x:v>
      </x:c>
      <x:c r="S2" s="16" t="str">
        <x:v>Legacy entry — re-verification required</x:v>
      </x:c>
      <x:c r="T2" s="16" t="str">
        <x:v>Not read</x:v>
      </x:c>
      <x:c r="U2" s="16" t="str">
        <x:v>Existing ARL literature</x:v>
      </x:c>
      <x:c r="V2" s="16" t="str">
        <x:v>Pending</x:v>
      </x:c>
      <x:c r="W2" s="16" t="str"/>
      <x:c r="X2" s="16" t="str">
        <x:v>Download/request access</x:v>
      </x:c>
      <x:c r="Y2" s="16" t="str"/>
    </x:row>
    <x:row r="3">
      <x:c r="A3" s="16" t="str">
        <x:v>MDMER-0002</x:v>
      </x:c>
      <x:c r="B3" s="16" t="str">
        <x:v>Tier 1</x:v>
      </x:c>
      <x:c r="C3" s="16" t="str">
        <x:v>Core multimodal datasets</x:v>
      </x:c>
      <x:c r="D3" s="16" t="str">
        <x:v>Dataset paper</x:v>
      </x:c>
      <x:c r="E3" s="16" t="str">
        <x:v>MAHNOB-HCI: A Multimodal Database for Affect Recognition and Implicit Tagging</x:v>
      </x:c>
      <x:c r="F3" s="16" t="n">
        <x:v>2011</x:v>
      </x:c>
      <x:c r="G3" s="16" t="str">
        <x:v>Soleymani et al.</x:v>
      </x:c>
      <x:c r="H3" s="16" t="str"/>
      <x:c r="I3" s="16" t="str">
        <x:v>EEG; ECG; GSR; eye gaze; audio; video</x:v>
      </x:c>
      <x:c r="J3" s="16" t="str">
        <x:v>Individual</x:v>
      </x:c>
      <x:c r="K3" s="16" t="str">
        <x:v>Affective stimuli / implicit tagging</x:v>
      </x:c>
      <x:c r="L3" s="16" t="str">
        <x:v>Registration</x:v>
      </x:c>
      <x:c r="M3" s="16" t="str">
        <x:v>https://mahnob-db.eu/hci-tagging/</x:v>
      </x:c>
      <x:c r="N3" s="16" t="str">
        <x:v>https://ieeexplore.ieee.org/document/5975141/</x:v>
      </x:c>
      <x:c r="O3" s="16" t="str">
        <x:v>Direct comparator</x:v>
      </x:c>
      <x:c r="P3" s="16" t="str">
        <x:v>Classic multimodal physiology + audiovisual benchmark.</x:v>
      </x:c>
      <x:c r="Q3" s="16" t="str">
        <x:v>Single participant; no group interaction or decision-making.</x:v>
      </x:c>
      <x:c r="R3" s="16" t="str">
        <x:v>Must read</x:v>
      </x:c>
      <x:c r="S3" s="16" t="str">
        <x:v>Legacy entry — re-verification required</x:v>
      </x:c>
      <x:c r="T3" s="16" t="str">
        <x:v>Not read</x:v>
      </x:c>
      <x:c r="U3" s="16" t="str">
        <x:v>Existing ARL literature</x:v>
      </x:c>
      <x:c r="V3" s="16" t="str">
        <x:v>Pending</x:v>
      </x:c>
      <x:c r="W3" s="16" t="str"/>
      <x:c r="X3" s="16" t="str">
        <x:v>Use for acquisition and metadata comparison</x:v>
      </x:c>
      <x:c r="Y3" s="16" t="str"/>
    </x:row>
    <x:row r="4">
      <x:c r="A4" s="16" t="str">
        <x:v>MDMER-0003</x:v>
      </x:c>
      <x:c r="B4" s="16" t="str">
        <x:v>Tier 1</x:v>
      </x:c>
      <x:c r="C4" s="16" t="str">
        <x:v>Core multimodal datasets</x:v>
      </x:c>
      <x:c r="D4" s="16" t="str">
        <x:v>Dataset paper</x:v>
      </x:c>
      <x:c r="E4" s="16" t="str">
        <x:v>K-EmoCon: A Multimodal Sensor Dataset for Continuous Emotion Recognition in Naturalistic Conversations</x:v>
      </x:c>
      <x:c r="F4" s="16" t="n">
        <x:v>2020</x:v>
      </x:c>
      <x:c r="G4" s="16" t="str">
        <x:v>Park et al.</x:v>
      </x:c>
      <x:c r="H4" s="16" t="str"/>
      <x:c r="I4" s="16" t="str">
        <x:v>EEG; PPG; EDA/GSR; HR; audio; video; annotations</x:v>
      </x:c>
      <x:c r="J4" s="16" t="str">
        <x:v>Dyads</x:v>
      </x:c>
      <x:c r="K4" s="16" t="str">
        <x:v>Paired debate / natural conversation</x:v>
      </x:c>
      <x:c r="L4" s="16" t="str">
        <x:v>Public</x:v>
      </x:c>
      <x:c r="M4" s="16" t="str">
        <x:v>https://zenodo.org/records/3762962</x:v>
      </x:c>
      <x:c r="N4" s="16" t="str">
        <x:v>https://www.nature.com/articles/s41597-020-00630-y</x:v>
      </x:c>
      <x:c r="O4" s="16" t="str">
        <x:v>Direct comparator</x:v>
      </x:c>
      <x:c r="P4" s="16" t="str">
        <x:v>Naturalistic interaction with EEG and peripheral physiology.</x:v>
      </x:c>
      <x:c r="Q4" s="16" t="str">
        <x:v>Only dyads; emotion focus; no deception/game structure or voting.</x:v>
      </x:c>
      <x:c r="R4" s="16" t="str">
        <x:v>Must read</x:v>
      </x:c>
      <x:c r="S4" s="16" t="str">
        <x:v>Legacy entry — re-verification required</x:v>
      </x:c>
      <x:c r="T4" s="16" t="str">
        <x:v>Not read</x:v>
      </x:c>
      <x:c r="U4" s="16" t="str">
        <x:v>Existing ARL literature</x:v>
      </x:c>
      <x:c r="V4" s="16" t="str">
        <x:v>Pending</x:v>
      </x:c>
      <x:c r="W4" s="16" t="str"/>
      <x:c r="X4" s="16" t="str">
        <x:v>Very useful for annotation design</x:v>
      </x:c>
      <x:c r="Y4" s="16" t="str"/>
    </x:row>
    <x:row r="5">
      <x:c r="A5" s="16" t="str">
        <x:v>MDMER-0004</x:v>
      </x:c>
      <x:c r="B5" s="16" t="str">
        <x:v>Tier 1</x:v>
      </x:c>
      <x:c r="C5" s="16" t="str">
        <x:v>Core multimodal datasets</x:v>
      </x:c>
      <x:c r="D5" s="16" t="str">
        <x:v>Dataset paper</x:v>
      </x:c>
      <x:c r="E5" s="16" t="str">
        <x:v>DEAP: A Database for Emotion Analysis using Physiological Signals</x:v>
      </x:c>
      <x:c r="F5" s="16" t="n">
        <x:v>2012</x:v>
      </x:c>
      <x:c r="G5" s="16" t="str">
        <x:v>Koelstra et al.</x:v>
      </x:c>
      <x:c r="H5" s="16" t="str"/>
      <x:c r="I5" s="16" t="str">
        <x:v>EEG; EMG; EOG; GSR; respiration; skin temperature; face video</x:v>
      </x:c>
      <x:c r="J5" s="16" t="str">
        <x:v>Individual</x:v>
      </x:c>
      <x:c r="K5" s="16" t="str">
        <x:v>Music video emotion elicitation</x:v>
      </x:c>
      <x:c r="L5" s="16" t="str">
        <x:v>Registration</x:v>
      </x:c>
      <x:c r="M5" s="16" t="str">
        <x:v>https://www.eecs.qmul.ac.uk/mmv/datasets/deap/download.html</x:v>
      </x:c>
      <x:c r="N5" s="16" t="str">
        <x:v>https://research.utwente.nl/en/publications/deap-a-database-for-emotion-analysis-using-physiological-signals/</x:v>
      </x:c>
      <x:c r="O5" s="16" t="str">
        <x:v>Direct comparator</x:v>
      </x:c>
      <x:c r="P5" s="16" t="str">
        <x:v>Canonical multimodal physiological benchmark.</x:v>
      </x:c>
      <x:c r="Q5" s="16" t="str">
        <x:v>Individual passive viewing; no social interaction or real-time group task.</x:v>
      </x:c>
      <x:c r="R5" s="16" t="str">
        <x:v>Must read</x:v>
      </x:c>
      <x:c r="S5" s="16" t="str">
        <x:v>Legacy entry — re-verification required</x:v>
      </x:c>
      <x:c r="T5" s="16" t="str">
        <x:v>Not read</x:v>
      </x:c>
      <x:c r="U5" s="16" t="str">
        <x:v>Existing ARL literature</x:v>
      </x:c>
      <x:c r="V5" s="16" t="str">
        <x:v>Pending</x:v>
      </x:c>
      <x:c r="W5" s="16" t="str"/>
      <x:c r="X5" s="16" t="str">
        <x:v>Expected citation in affective computing</x:v>
      </x:c>
      <x:c r="Y5" s="16" t="str"/>
    </x:row>
    <x:row r="6">
      <x:c r="A6" s="16" t="str">
        <x:v>MDMER-0005</x:v>
      </x:c>
      <x:c r="B6" s="16" t="str">
        <x:v>Tier 1</x:v>
      </x:c>
      <x:c r="C6" s="16" t="str">
        <x:v>Core multimodal datasets</x:v>
      </x:c>
      <x:c r="D6" s="16" t="str">
        <x:v>Dataset paper</x:v>
      </x:c>
      <x:c r="E6" s="16" t="str">
        <x:v>GroupAffect-4: A Multimodal Dataset of Four-Person Collaborative Interaction</x:v>
      </x:c>
      <x:c r="F6" s="16" t="n">
        <x:v>2026</x:v>
      </x:c>
      <x:c r="G6" s="16" t="str">
        <x:v>Jamshidi Seikavandi et al.</x:v>
      </x:c>
      <x:c r="H6" s="16" t="str"/>
      <x:c r="I6" s="16" t="str">
        <x:v>Wrist physiology; eye-tracking glasses; close-talk microphones; self-report; task outcomes</x:v>
      </x:c>
      <x:c r="J6" s="16" t="str">
        <x:v>Four-person groups</x:v>
      </x:c>
      <x:c r="K6" s="16" t="str">
        <x:v>Hidden-profile decision; negotiation; idea generation; public-goods game</x:v>
      </x:c>
      <x:c r="L6" s="16" t="str">
        <x:v>Public</x:v>
      </x:c>
      <x:c r="M6" s="16" t="str">
        <x:v>https://zenodo.org/records/20037847</x:v>
      </x:c>
      <x:c r="N6" s="16" t="str">
        <x:v>https://arxiv.org/abs/2605.19765</x:v>
      </x:c>
      <x:c r="O6" s="16" t="str">
        <x:v>Direct comparator</x:v>
      </x:c>
      <x:c r="P6" s="16" t="str">
        <x:v>Closest modern comparison for ARL group interaction and LSL-style synchronized multimodal collection.</x:v>
      </x:c>
      <x:c r="Q6" s="16" t="str">
        <x:v>No EEG/EMG; not social deduction; four-person not five-person.</x:v>
      </x:c>
      <x:c r="R6" s="16" t="str">
        <x:v>Must read</x:v>
      </x:c>
      <x:c r="S6" s="16" t="str">
        <x:v>Legacy entry — re-verification required</x:v>
      </x:c>
      <x:c r="T6" s="16" t="str">
        <x:v>Not read</x:v>
      </x:c>
      <x:c r="U6" s="16" t="str">
        <x:v>Existing ARL literature</x:v>
      </x:c>
      <x:c r="V6" s="16" t="str">
        <x:v>Pending</x:v>
      </x:c>
      <x:c r="W6" s="16" t="str"/>
      <x:c r="X6" s="16" t="str">
        <x:v>Highest priority after ARL protocol</x:v>
      </x:c>
      <x:c r="Y6" s="16" t="str"/>
    </x:row>
    <x:row r="7">
      <x:c r="A7" s="16" t="str">
        <x:v>MDMER-0006</x:v>
      </x:c>
      <x:c r="B7" s="16" t="str">
        <x:v>Tier 1</x:v>
      </x:c>
      <x:c r="C7" s="16" t="str">
        <x:v>Social affect / dyadic datasets</x:v>
      </x:c>
      <x:c r="D7" s="16" t="str">
        <x:v>Dataset paper</x:v>
      </x:c>
      <x:c r="E7" s="16" t="str">
        <x:v>RECOLA: Remote Collaborative and Affective Interactions</x:v>
      </x:c>
      <x:c r="F7" s="16" t="n">
        <x:v>2013</x:v>
      </x:c>
      <x:c r="G7" s="16" t="str">
        <x:v>Ringeval et al.</x:v>
      </x:c>
      <x:c r="H7" s="16" t="str"/>
      <x:c r="I7" s="16" t="str">
        <x:v>Audio; video; ECG; EDA</x:v>
      </x:c>
      <x:c r="J7" s="16" t="str">
        <x:v>Dyads</x:v>
      </x:c>
      <x:c r="K7" s="16" t="str">
        <x:v>Remote collaborative task</x:v>
      </x:c>
      <x:c r="L7" s="16" t="str">
        <x:v>Academic access</x:v>
      </x:c>
      <x:c r="M7" s="16" t="str">
        <x:v>https://recola.human-ist.ch/</x:v>
      </x:c>
      <x:c r="N7" s="16" t="str">
        <x:v>https://recola.human-ist.ch/data/emoSPACE13_RECOLA_Database.pdf</x:v>
      </x:c>
      <x:c r="O7" s="16" t="str">
        <x:v>Social/Group Comparator</x:v>
      </x:c>
      <x:c r="P7" s="16" t="str">
        <x:v>Strong example of synchronized affective dyadic interaction.</x:v>
      </x:c>
      <x:c r="Q7" s="16" t="str">
        <x:v>No EEG/eye tracking/EMG; dyadic remote collaboration.</x:v>
      </x:c>
      <x:c r="R7" s="16" t="str">
        <x:v>High</x:v>
      </x:c>
      <x:c r="S7" s="16" t="str">
        <x:v>Legacy entry — re-verification required</x:v>
      </x:c>
      <x:c r="T7" s="16" t="str">
        <x:v>Not read</x:v>
      </x:c>
      <x:c r="U7" s="16" t="str">
        <x:v>Existing ARL literature</x:v>
      </x:c>
      <x:c r="V7" s="16" t="str">
        <x:v>Pending</x:v>
      </x:c>
      <x:c r="W7" s="16" t="str"/>
      <x:c r="X7" s="16" t="str">
        <x:v>Useful for continuous annotation and sync</x:v>
      </x:c>
      <x:c r="Y7" s="16" t="str"/>
    </x:row>
    <x:row r="8">
      <x:c r="A8" s="16" t="str">
        <x:v>MDMER-0007</x:v>
      </x:c>
      <x:c r="B8" s="16" t="str">
        <x:v>Tier 1</x:v>
      </x:c>
      <x:c r="C8" s="16" t="str">
        <x:v>Social interaction datasets</x:v>
      </x:c>
      <x:c r="D8" s="16" t="str">
        <x:v>Dataset paper</x:v>
      </x:c>
      <x:c r="E8" s="16" t="str">
        <x:v>SEWA DB: Audio-Visual Emotion and Sentiment Research in the Wild</x:v>
      </x:c>
      <x:c r="F8" s="16" t="n">
        <x:v>2021</x:v>
      </x:c>
      <x:c r="G8" s="16" t="str">
        <x:v>Kossaifi et al.</x:v>
      </x:c>
      <x:c r="H8" s="16" t="str"/>
      <x:c r="I8" s="16" t="str">
        <x:v>Audio; video; facial landmarks; action units; vocal cues</x:v>
      </x:c>
      <x:c r="J8" s="16" t="str">
        <x:v>Dyads</x:v>
      </x:c>
      <x:c r="K8" s="16" t="str">
        <x:v>Natural web-based conversations</x:v>
      </x:c>
      <x:c r="L8" s="16" t="str">
        <x:v>Research access</x:v>
      </x:c>
      <x:c r="M8" s="16" t="str">
        <x:v>http://db.sewaproject.eu/</x:v>
      </x:c>
      <x:c r="N8" s="16" t="str">
        <x:v>https://pubmed.ncbi.nlm.nih.gov/31581074/</x:v>
      </x:c>
      <x:c r="O8" s="16" t="str">
        <x:v>Social/Group Comparator</x:v>
      </x:c>
      <x:c r="P8" s="16" t="str">
        <x:v>Useful for in-the-wild audiovisual affect and dyadic interaction.</x:v>
      </x:c>
      <x:c r="Q8" s="16" t="str">
        <x:v>No physiology; not group decision making.</x:v>
      </x:c>
      <x:c r="R8" s="16" t="str">
        <x:v>High</x:v>
      </x:c>
      <x:c r="S8" s="16" t="str">
        <x:v>Legacy entry — re-verification required</x:v>
      </x:c>
      <x:c r="T8" s="16" t="str">
        <x:v>Not read</x:v>
      </x:c>
      <x:c r="U8" s="16" t="str">
        <x:v>Existing ARL literature</x:v>
      </x:c>
      <x:c r="V8" s="16" t="str">
        <x:v>Pending</x:v>
      </x:c>
      <x:c r="W8" s="16" t="str"/>
      <x:c r="X8" s="16" t="str">
        <x:v>Relevant to audio/video annotation</x:v>
      </x:c>
      <x:c r="Y8" s="16" t="str"/>
    </x:row>
    <x:row r="9">
      <x:c r="A9" s="16" t="str">
        <x:v>MDMER-0008</x:v>
      </x:c>
      <x:c r="B9" s="16" t="str">
        <x:v>Tier 1</x:v>
      </x:c>
      <x:c r="C9" s="16" t="str">
        <x:v>Meeting / group interaction</x:v>
      </x:c>
      <x:c r="D9" s="16" t="str">
        <x:v>Dataset paper</x:v>
      </x:c>
      <x:c r="E9" s="16" t="str">
        <x:v>AMI Meeting Corpus</x:v>
      </x:c>
      <x:c r="F9" s="16" t="n">
        <x:v>2005</x:v>
      </x:c>
      <x:c r="G9" s="16" t="str">
        <x:v>Carletta et al.</x:v>
      </x:c>
      <x:c r="H9" s="16" t="str"/>
      <x:c r="I9" s="16" t="str">
        <x:v>Individual and room microphones; video; projector; whiteboard; transcripts</x:v>
      </x:c>
      <x:c r="J9" s="16" t="str">
        <x:v>Groups</x:v>
      </x:c>
      <x:c r="K9" s="16" t="str">
        <x:v>Scenario-driven and natural meetings</x:v>
      </x:c>
      <x:c r="L9" s="16" t="str">
        <x:v>Public/research</x:v>
      </x:c>
      <x:c r="M9" s="16" t="str">
        <x:v>https://groups.inf.ed.ac.uk/ami/corpus/</x:v>
      </x:c>
      <x:c r="N9" s="16" t="str">
        <x:v>https://link.springer.com/chapter/10.1007/11677482_3</x:v>
      </x:c>
      <x:c r="O9" s="16" t="str">
        <x:v>Background Evidence</x:v>
      </x:c>
      <x:c r="P9" s="16" t="str">
        <x:v>Foundational multimodal group interaction dataset.</x:v>
      </x:c>
      <x:c r="Q9" s="16" t="str">
        <x:v>No physiology; meeting task not deception or uncertainty voting.</x:v>
      </x:c>
      <x:c r="R9" s="16" t="str">
        <x:v>High</x:v>
      </x:c>
      <x:c r="S9" s="16" t="str">
        <x:v>Legacy entry — re-verification required</x:v>
      </x:c>
      <x:c r="T9" s="16" t="str">
        <x:v>Not read</x:v>
      </x:c>
      <x:c r="U9" s="16" t="str">
        <x:v>Existing ARL literature</x:v>
      </x:c>
      <x:c r="V9" s="16" t="str">
        <x:v>Pending</x:v>
      </x:c>
      <x:c r="W9" s="16" t="str"/>
      <x:c r="X9" s="16" t="str">
        <x:v>Useful for mic/camera setup comparison</x:v>
      </x:c>
      <x:c r="Y9" s="16" t="str"/>
    </x:row>
    <x:row r="10">
      <x:c r="A10" s="16" t="str">
        <x:v>MDMER-0009</x:v>
      </x:c>
      <x:c r="B10" s="16" t="str">
        <x:v>Tier 1</x:v>
      </x:c>
      <x:c r="C10" s="16" t="str">
        <x:v>Eye tracking + EEG</x:v>
      </x:c>
      <x:c r="D10" s="16" t="str">
        <x:v>Dataset paper</x:v>
      </x:c>
      <x:c r="E10" s="16" t="str">
        <x:v>EEGEyeNet: Simultaneous EEG and Eye-tracking Dataset and Benchmark</x:v>
      </x:c>
      <x:c r="F10" s="16" t="n">
        <x:v>2021</x:v>
      </x:c>
      <x:c r="G10" s="16" t="str">
        <x:v>Kastrati et al.</x:v>
      </x:c>
      <x:c r="H10" s="16" t="str"/>
      <x:c r="I10" s="16" t="str">
        <x:v>EEG; eye tracking</x:v>
      </x:c>
      <x:c r="J10" s="16" t="str">
        <x:v>Individual</x:v>
      </x:c>
      <x:c r="K10" s="16" t="str">
        <x:v>Eye movement prediction paradigms</x:v>
      </x:c>
      <x:c r="L10" s="16" t="str">
        <x:v>Public</x:v>
      </x:c>
      <x:c r="M10" s="16" t="str">
        <x:v>https://github.com/ardkastrati/EEGEyeNet</x:v>
      </x:c>
      <x:c r="N10" s="16" t="str">
        <x:v>https://arxiv.org/abs/2111.05100</x:v>
      </x:c>
      <x:c r="O10" s="16" t="str">
        <x:v>Modality Comparator</x:v>
      </x:c>
      <x:c r="P10" s="16" t="str">
        <x:v>Important EEG-eye tracking synchronization and benchmark reference.</x:v>
      </x:c>
      <x:c r="Q10" s="16" t="str">
        <x:v>No physiology beyond EEG; no interaction or decisions.</x:v>
      </x:c>
      <x:c r="R10" s="16" t="str">
        <x:v>High</x:v>
      </x:c>
      <x:c r="S10" s="16" t="str">
        <x:v>Legacy entry — re-verification required</x:v>
      </x:c>
      <x:c r="T10" s="16" t="str">
        <x:v>Not read</x:v>
      </x:c>
      <x:c r="U10" s="16" t="str">
        <x:v>Existing ARL literature</x:v>
      </x:c>
      <x:c r="V10" s="16" t="str">
        <x:v>Pending</x:v>
      </x:c>
      <x:c r="W10" s="16" t="str"/>
      <x:c r="X10" s="16" t="str">
        <x:v>Useful for EyeLogic + EEG preprocessing</x:v>
      </x:c>
      <x:c r="Y10" s="16" t="str"/>
    </x:row>
    <x:row r="11">
      <x:c r="A11" s="16" t="str">
        <x:v>MDMER-0010</x:v>
      </x:c>
      <x:c r="B11" s="16" t="str">
        <x:v>Tier 1</x:v>
      </x:c>
      <x:c r="C11" s="16" t="str">
        <x:v>Synchronization platform</x:v>
      </x:c>
      <x:c r="D11" s="16" t="str">
        <x:v>Platform paper</x:v>
      </x:c>
      <x:c r="E11" s="16" t="str">
        <x:v>The Lab Streaming Layer for Synchronized Multimodal Recording</x:v>
      </x:c>
      <x:c r="F11" s="16" t="n">
        <x:v>2025</x:v>
      </x:c>
      <x:c r="G11" s="16" t="str">
        <x:v>Kothe et al.</x:v>
      </x:c>
      <x:c r="H11" s="16" t="str"/>
      <x:c r="I11" s="16" t="str">
        <x:v>Software framework for multimodal time synchronization</x:v>
      </x:c>
      <x:c r="J11" s="16" t="str">
        <x:v>Any</x:v>
      </x:c>
      <x:c r="K11" s="16" t="str">
        <x:v>Synchronized recording framework</x:v>
      </x:c>
      <x:c r="L11" s="16" t="str">
        <x:v>Open source</x:v>
      </x:c>
      <x:c r="M11" s="16" t="str">
        <x:v>https://labstreaminglayer.org/</x:v>
      </x:c>
      <x:c r="N11" s="16" t="str">
        <x:v>https://direct.mit.edu/imag/article/doi/10.1162/IMAG.a.136/132678/The-lab-streaming-layer-for-synchronized</x:v>
      </x:c>
      <x:c r="O11" s="16" t="str">
        <x:v>Synchronization Comparator</x:v>
      </x:c>
      <x:c r="P11" s="16" t="str">
        <x:v>Core technical citation for ARL acquisition architecture.</x:v>
      </x:c>
      <x:c r="Q11" s="16" t="str">
        <x:v>Not a dataset; supports infrastructure rather than task design.</x:v>
      </x:c>
      <x:c r="R11" s="16" t="str">
        <x:v>Must read</x:v>
      </x:c>
      <x:c r="S11" s="16" t="str">
        <x:v>Legacy entry — re-verification required</x:v>
      </x:c>
      <x:c r="T11" s="16" t="str">
        <x:v>Not read</x:v>
      </x:c>
      <x:c r="U11" s="16" t="str">
        <x:v>Existing ARL literature</x:v>
      </x:c>
      <x:c r="V11" s="16" t="str">
        <x:v>Pending</x:v>
      </x:c>
      <x:c r="W11" s="16" t="str"/>
      <x:c r="X11" s="16" t="str">
        <x:v>Must cite in ARL platform section</x:v>
      </x:c>
      <x:c r="Y11" s="16" t="str"/>
    </x:row>
    <x:row r="12">
      <x:c r="A12" s="16" t="str">
        <x:v>MDMER-0011</x:v>
      </x:c>
      <x:c r="B12" s="16" t="str">
        <x:v>Tier 2</x:v>
      </x:c>
      <x:c r="C12" s="16" t="str">
        <x:v>Physiological affect datasets</x:v>
      </x:c>
      <x:c r="D12" s="16" t="str">
        <x:v>Dataset paper</x:v>
      </x:c>
      <x:c r="E12" s="16" t="str">
        <x:v>ASCERTAIN: A Database for Implicit Personality and Affect Recognition</x:v>
      </x:c>
      <x:c r="F12" s="16" t="n">
        <x:v>2016</x:v>
      </x:c>
      <x:c r="G12" s="16" t="str">
        <x:v>Subramanian et al.</x:v>
      </x:c>
      <x:c r="H12" s="16" t="str"/>
      <x:c r="I12" s="16" t="str">
        <x:v>EEG; ECG; GSR; facial video; personality/self-report</x:v>
      </x:c>
      <x:c r="J12" s="16" t="str">
        <x:v>Individual</x:v>
      </x:c>
      <x:c r="K12" s="16" t="str">
        <x:v>Affective video viewing</x:v>
      </x:c>
      <x:c r="L12" s="16" t="str">
        <x:v>Research access</x:v>
      </x:c>
      <x:c r="M12" s="16" t="str">
        <x:v>http://ascertain-dataset.github.io/</x:v>
      </x:c>
      <x:c r="N12" s="16" t="str">
        <x:v>https://ieeexplore.ieee.org/document/7740927/</x:v>
      </x:c>
      <x:c r="O12" s="16" t="str">
        <x:v>Background Evidence</x:v>
      </x:c>
      <x:c r="P12" s="16" t="str">
        <x:v>Adds personality and affect to multimodal physiology.</x:v>
      </x:c>
      <x:c r="Q12" s="16" t="str">
        <x:v>No group interaction; no decision-making task.</x:v>
      </x:c>
      <x:c r="R12" s="16" t="str">
        <x:v>Medium</x:v>
      </x:c>
      <x:c r="S12" s="16" t="str">
        <x:v>Legacy entry — re-verification required</x:v>
      </x:c>
      <x:c r="T12" s="16" t="str">
        <x:v>Not read</x:v>
      </x:c>
      <x:c r="U12" s="16" t="str">
        <x:v>Existing ARL literature</x:v>
      </x:c>
      <x:c r="V12" s="16" t="str">
        <x:v>Pending</x:v>
      </x:c>
      <x:c r="W12" s="16" t="str"/>
      <x:c r="X12" s="16" t="str">
        <x:v>May need access link verification</x:v>
      </x:c>
      <x:c r="Y12" s="16" t="str"/>
    </x:row>
    <x:row r="13">
      <x:c r="A13" s="16" t="str">
        <x:v>MDMER-0012</x:v>
      </x:c>
      <x:c r="B13" s="16" t="str">
        <x:v>Tier 2</x:v>
      </x:c>
      <x:c r="C13" s="16" t="str">
        <x:v>Physiological affect datasets</x:v>
      </x:c>
      <x:c r="D13" s="16" t="str">
        <x:v>Dataset paper</x:v>
      </x:c>
      <x:c r="E13" s="16" t="str">
        <x:v>DREAMER: A Database for Emotion Recognition Through EEG and ECG Signals</x:v>
      </x:c>
      <x:c r="F13" s="16" t="n">
        <x:v>2018</x:v>
      </x:c>
      <x:c r="G13" s="16" t="str">
        <x:v>Katsigiannis &amp; Ramzan</x:v>
      </x:c>
      <x:c r="H13" s="16" t="str"/>
      <x:c r="I13" s="16" t="str">
        <x:v>EEG; ECG</x:v>
      </x:c>
      <x:c r="J13" s="16" t="str">
        <x:v>Individual</x:v>
      </x:c>
      <x:c r="K13" s="16" t="str">
        <x:v>Affective audio-visual stimuli</x:v>
      </x:c>
      <x:c r="L13" s="16" t="str">
        <x:v>Public/research</x:v>
      </x:c>
      <x:c r="M13" s="16" t="str">
        <x:v>https://zenodo.org/record/546113</x:v>
      </x:c>
      <x:c r="N13" s="16" t="str">
        <x:v>https://ieeexplore.ieee.org/document/7880584/</x:v>
      </x:c>
      <x:c r="O13" s="16" t="str">
        <x:v>Background Evidence</x:v>
      </x:c>
      <x:c r="P13" s="16" t="str">
        <x:v>Useful compact EEG+ECG benchmark.</x:v>
      </x:c>
      <x:c r="Q13" s="16" t="str">
        <x:v>No GSR/EMG/eye/audio interaction.</x:v>
      </x:c>
      <x:c r="R13" s="16" t="str">
        <x:v>Medium</x:v>
      </x:c>
      <x:c r="S13" s="16" t="str">
        <x:v>Legacy entry — re-verification required</x:v>
      </x:c>
      <x:c r="T13" s="16" t="str">
        <x:v>Not read</x:v>
      </x:c>
      <x:c r="U13" s="16" t="str">
        <x:v>Existing ARL literature</x:v>
      </x:c>
      <x:c r="V13" s="16" t="str">
        <x:v>Pending</x:v>
      </x:c>
      <x:c r="W13" s="16" t="str"/>
      <x:c r="X13" s="16" t="str">
        <x:v>Good baseline physiology dataset</x:v>
      </x:c>
      <x:c r="Y13" s="16" t="str"/>
    </x:row>
    <x:row r="14">
      <x:c r="A14" s="16" t="str">
        <x:v>MDMER-0013</x:v>
      </x:c>
      <x:c r="B14" s="16" t="str">
        <x:v>Tier 2</x:v>
      </x:c>
      <x:c r="C14" s="16" t="str">
        <x:v>Physiological affect datasets</x:v>
      </x:c>
      <x:c r="D14" s="16" t="str">
        <x:v>Dataset paper</x:v>
      </x:c>
      <x:c r="E14" s="16" t="str">
        <x:v>CASE: Continuously Annotated Signals of Emotion Dataset</x:v>
      </x:c>
      <x:c r="F14" s="16" t="n">
        <x:v>2019</x:v>
      </x:c>
      <x:c r="G14" s="16" t="str">
        <x:v>Sharma et al.</x:v>
      </x:c>
      <x:c r="H14" s="16" t="str"/>
      <x:c r="I14" s="16" t="str">
        <x:v>ECG; BVP; EMG; GSR/EDA; respiration; skin temperature</x:v>
      </x:c>
      <x:c r="J14" s="16" t="str">
        <x:v>Individual</x:v>
      </x:c>
      <x:c r="K14" s="16" t="str">
        <x:v>Video emotion elicitation</x:v>
      </x:c>
      <x:c r="L14" s="16" t="str">
        <x:v>Public</x:v>
      </x:c>
      <x:c r="M14" s="16" t="str">
        <x:v>https://springernature.figshare.com/collections/CASE_Dataset/4260668</x:v>
      </x:c>
      <x:c r="N14" s="16" t="str">
        <x:v>https://www.nature.com/articles/s41597-019-0209-0</x:v>
      </x:c>
      <x:c r="O14" s="16" t="str">
        <x:v>Background Evidence</x:v>
      </x:c>
      <x:c r="P14" s="16" t="str">
        <x:v>High-quality synchronized physiological recordings with continuous annotations.</x:v>
      </x:c>
      <x:c r="Q14" s="16" t="str">
        <x:v>No EEG/eye tracking/group interaction.</x:v>
      </x:c>
      <x:c r="R14" s="16" t="str">
        <x:v>Medium</x:v>
      </x:c>
      <x:c r="S14" s="16" t="str">
        <x:v>Legacy entry — re-verification required</x:v>
      </x:c>
      <x:c r="T14" s="16" t="str">
        <x:v>Not read</x:v>
      </x:c>
      <x:c r="U14" s="16" t="str">
        <x:v>Existing ARL literature</x:v>
      </x:c>
      <x:c r="V14" s="16" t="str">
        <x:v>Pending</x:v>
      </x:c>
      <x:c r="W14" s="16" t="str"/>
      <x:c r="X14" s="16" t="str">
        <x:v>Use for annotation and physiology QC</x:v>
      </x:c>
      <x:c r="Y14" s="16" t="str"/>
    </x:row>
    <x:row r="15">
      <x:c r="A15" s="16" t="str">
        <x:v>MDMER-0014</x:v>
      </x:c>
      <x:c r="B15" s="16" t="str">
        <x:v>Tier 2</x:v>
      </x:c>
      <x:c r="C15" s="16" t="str">
        <x:v>Physiological affect datasets</x:v>
      </x:c>
      <x:c r="D15" s="16" t="str">
        <x:v>Dataset paper</x:v>
      </x:c>
      <x:c r="E15" s="16" t="str">
        <x:v>WESAD: Wearable Stress and Affect Detection</x:v>
      </x:c>
      <x:c r="F15" s="16" t="n">
        <x:v>2018</x:v>
      </x:c>
      <x:c r="G15" s="16" t="str">
        <x:v>Schmidt et al.</x:v>
      </x:c>
      <x:c r="H15" s="16" t="str"/>
      <x:c r="I15" s="16" t="str">
        <x:v>ECG; EDA; EMG; respiration; temperature; acceleration</x:v>
      </x:c>
      <x:c r="J15" s="16" t="str">
        <x:v>Individual</x:v>
      </x:c>
      <x:c r="K15" s="16" t="str">
        <x:v>Stress/affect protocol</x:v>
      </x:c>
      <x:c r="L15" s="16" t="str">
        <x:v>Public/research</x:v>
      </x:c>
      <x:c r="M15" s="16" t="str">
        <x:v>https://archive.ics.uci.edu/dataset/465/wesad+wearable+stress+and+affect+detection</x:v>
      </x:c>
      <x:c r="N15" s="16" t="str">
        <x:v>https://dl.acm.org/doi/10.1145/3242969.3242985</x:v>
      </x:c>
      <x:c r="O15" s="16" t="str">
        <x:v>Background Evidence</x:v>
      </x:c>
      <x:c r="P15" s="16" t="str">
        <x:v>Important wearable physiological dataset and benchmark.</x:v>
      </x:c>
      <x:c r="Q15" s="16" t="str">
        <x:v>No EEG/eye/audio/video; no social interaction.</x:v>
      </x:c>
      <x:c r="R15" s="16" t="str">
        <x:v>Medium</x:v>
      </x:c>
      <x:c r="S15" s="16" t="str">
        <x:v>Legacy entry — re-verification required</x:v>
      </x:c>
      <x:c r="T15" s="16" t="str">
        <x:v>Not read</x:v>
      </x:c>
      <x:c r="U15" s="16" t="str">
        <x:v>Existing ARL literature</x:v>
      </x:c>
      <x:c r="V15" s="16" t="str">
        <x:v>Pending</x:v>
      </x:c>
      <x:c r="W15" s="16" t="str"/>
      <x:c r="X15" s="16" t="str">
        <x:v>Useful for Shimmer-style feature extraction</x:v>
      </x:c>
      <x:c r="Y15" s="16" t="str"/>
    </x:row>
    <x:row r="16">
      <x:c r="A16" s="16" t="str">
        <x:v>MDMER-0015</x:v>
      </x:c>
      <x:c r="B16" s="16" t="str">
        <x:v>Tier 2</x:v>
      </x:c>
      <x:c r="C16" s="16" t="str">
        <x:v>Physiological affect datasets</x:v>
      </x:c>
      <x:c r="D16" s="16" t="str">
        <x:v>Dataset paper</x:v>
      </x:c>
      <x:c r="E16" s="16" t="str">
        <x:v>MAUS: A Multimodal Affective User State Dataset</x:v>
      </x:c>
      <x:c r="F16" s="16" t="n">
        <x:v>2019</x:v>
      </x:c>
      <x:c r="G16" s="16" t="str">
        <x:v>Kächele et al.</x:v>
      </x:c>
      <x:c r="H16" s="16" t="str"/>
      <x:c r="I16" s="16" t="str">
        <x:v>Physiology; facial behavior; annotations</x:v>
      </x:c>
      <x:c r="J16" s="16" t="str">
        <x:v>Individual</x:v>
      </x:c>
      <x:c r="K16" s="16" t="str">
        <x:v>Affective user state tasks</x:v>
      </x:c>
      <x:c r="L16" s="16" t="str">
        <x:v>Research access</x:v>
      </x:c>
      <x:c r="M16" s="16" t="str"/>
      <x:c r="N16" s="16" t="str">
        <x:v>https://dl.acm.org/doi/10.1145/3340555.3353746</x:v>
      </x:c>
      <x:c r="O16" s="16" t="str">
        <x:v>Background Evidence</x:v>
      </x:c>
      <x:c r="P16" s="16" t="str">
        <x:v>Relevant for multimodal user state inference.</x:v>
      </x:c>
      <x:c r="Q16" s="16" t="str">
        <x:v>Less direct to group decision; access/details need review.</x:v>
      </x:c>
      <x:c r="R16" s="16" t="str">
        <x:v>Medium</x:v>
      </x:c>
      <x:c r="S16" s="16" t="str">
        <x:v>Legacy entry — re-verification required</x:v>
      </x:c>
      <x:c r="T16" s="16" t="str">
        <x:v>To verify</x:v>
      </x:c>
      <x:c r="U16" s="16" t="str">
        <x:v>Existing ARL literature</x:v>
      </x:c>
      <x:c r="V16" s="16" t="str">
        <x:v>Pending</x:v>
      </x:c>
      <x:c r="W16" s="16" t="str"/>
      <x:c r="X16" s="16" t="str">
        <x:v>Potential related work</x:v>
      </x:c>
      <x:c r="Y16" s="16" t="str"/>
    </x:row>
    <x:row r="17">
      <x:c r="A17" s="16" t="str">
        <x:v>MDMER-0016</x:v>
      </x:c>
      <x:c r="B17" s="16" t="str">
        <x:v>Tier 2</x:v>
      </x:c>
      <x:c r="C17" s="16" t="str">
        <x:v>Physiological affect datasets</x:v>
      </x:c>
      <x:c r="D17" s="16" t="str">
        <x:v>Dataset paper</x:v>
      </x:c>
      <x:c r="E17" s="16" t="str">
        <x:v>Affectiva-MIT Facial Expression / emotion datasets</x:v>
      </x:c>
      <x:c r="F17" s="16" t="n">
        <x:v>2010</x:v>
      </x:c>
      <x:c r="G17" s="16" t="str">
        <x:v>McDuff et al.</x:v>
      </x:c>
      <x:c r="H17" s="16" t="str"/>
      <x:c r="I17" s="16" t="str">
        <x:v>Video/facial expression; sometimes physiology in related work</x:v>
      </x:c>
      <x:c r="J17" s="16" t="str">
        <x:v>Individual</x:v>
      </x:c>
      <x:c r="K17" s="16" t="str">
        <x:v>Emotion elicitation</x:v>
      </x:c>
      <x:c r="L17" s="16" t="str">
        <x:v>Restricted/commercial/research</x:v>
      </x:c>
      <x:c r="M17" s="16" t="str"/>
      <x:c r="N17" s="16" t="str">
        <x:v>https://ieeexplore.ieee.org/document/7744024/</x:v>
      </x:c>
      <x:c r="O17" s="16" t="str">
        <x:v>Background Evidence</x:v>
      </x:c>
      <x:c r="P17" s="16" t="str">
        <x:v>Useful for affect and facial-video benchmark context.</x:v>
      </x:c>
      <x:c r="Q17" s="16" t="str">
        <x:v>Not physiological group decision data.</x:v>
      </x:c>
      <x:c r="R17" s="16" t="str">
        <x:v>Low</x:v>
      </x:c>
      <x:c r="S17" s="16" t="str">
        <x:v>Legacy entry — re-verification required</x:v>
      </x:c>
      <x:c r="T17" s="16" t="str">
        <x:v>To verify</x:v>
      </x:c>
      <x:c r="U17" s="16" t="str">
        <x:v>Existing ARL literature</x:v>
      </x:c>
      <x:c r="V17" s="16" t="str">
        <x:v>Pending</x:v>
      </x:c>
      <x:c r="W17" s="16" t="str"/>
      <x:c r="X17" s="16" t="str">
        <x:v>Optional citation only</x:v>
      </x:c>
      <x:c r="Y17" s="16" t="str"/>
    </x:row>
    <x:row r="18">
      <x:c r="A18" s="16" t="str">
        <x:v>MDMER-0017</x:v>
      </x:c>
      <x:c r="B18" s="16" t="str">
        <x:v>Tier 2</x:v>
      </x:c>
      <x:c r="C18" s="16" t="str">
        <x:v>EEG emotion datasets</x:v>
      </x:c>
      <x:c r="D18" s="16" t="str">
        <x:v>Dataset paper</x:v>
      </x:c>
      <x:c r="E18" s="16" t="str">
        <x:v>SEED: A Dataset for Emotion Recognition using EEG</x:v>
      </x:c>
      <x:c r="F18" s="16" t="n">
        <x:v>2015</x:v>
      </x:c>
      <x:c r="G18" s="16" t="str">
        <x:v>Zheng &amp; Lu</x:v>
      </x:c>
      <x:c r="H18" s="16" t="str"/>
      <x:c r="I18" s="16" t="str">
        <x:v>EEG</x:v>
      </x:c>
      <x:c r="J18" s="16" t="str">
        <x:v>Individual</x:v>
      </x:c>
      <x:c r="K18" s="16" t="str">
        <x:v>Emotion film clips</x:v>
      </x:c>
      <x:c r="L18" s="16" t="str">
        <x:v>Research access</x:v>
      </x:c>
      <x:c r="M18" s="16" t="str">
        <x:v>https://bcmi.sjtu.edu.cn/home/seed/</x:v>
      </x:c>
      <x:c r="N18" s="16" t="str">
        <x:v>https://ieeexplore.ieee.org/document/7104132/</x:v>
      </x:c>
      <x:c r="O18" s="16" t="str">
        <x:v>Modality Comparator</x:v>
      </x:c>
      <x:c r="P18" s="16" t="str">
        <x:v>Common EEG emotion benchmark.</x:v>
      </x:c>
      <x:c r="Q18" s="16" t="str">
        <x:v>No multimodal group interaction.</x:v>
      </x:c>
      <x:c r="R18" s="16" t="str">
        <x:v>Medium</x:v>
      </x:c>
      <x:c r="S18" s="16" t="str">
        <x:v>Legacy entry — re-verification required</x:v>
      </x:c>
      <x:c r="T18" s="16" t="str">
        <x:v>Not read</x:v>
      </x:c>
      <x:c r="U18" s="16" t="str">
        <x:v>Existing ARL literature</x:v>
      </x:c>
      <x:c r="V18" s="16" t="str">
        <x:v>Pending</x:v>
      </x:c>
      <x:c r="W18" s="16" t="str"/>
      <x:c r="X18" s="16" t="str">
        <x:v>Useful for EEG feature benchmarks</x:v>
      </x:c>
      <x:c r="Y18" s="16" t="str"/>
    </x:row>
    <x:row r="19">
      <x:c r="A19" s="16" t="str">
        <x:v>MDMER-0018</x:v>
      </x:c>
      <x:c r="B19" s="16" t="str">
        <x:v>Tier 2</x:v>
      </x:c>
      <x:c r="C19" s="16" t="str">
        <x:v>EEG emotion datasets</x:v>
      </x:c>
      <x:c r="D19" s="16" t="str">
        <x:v>Dataset paper</x:v>
      </x:c>
      <x:c r="E19" s="16" t="str">
        <x:v>SEED-IV: Multimodal Emotion Dataset with Four Emotion Categories</x:v>
      </x:c>
      <x:c r="F19" s="16" t="n">
        <x:v>2018</x:v>
      </x:c>
      <x:c r="G19" s="16" t="str">
        <x:v>Zheng et al.</x:v>
      </x:c>
      <x:c r="H19" s="16" t="str"/>
      <x:c r="I19" s="16" t="str">
        <x:v>EEG; eye movement</x:v>
      </x:c>
      <x:c r="J19" s="16" t="str">
        <x:v>Individual</x:v>
      </x:c>
      <x:c r="K19" s="16" t="str">
        <x:v>Emotion film clips</x:v>
      </x:c>
      <x:c r="L19" s="16" t="str">
        <x:v>Research access</x:v>
      </x:c>
      <x:c r="M19" s="16" t="str">
        <x:v>https://bcmi.sjtu.edu.cn/home/seed/</x:v>
      </x:c>
      <x:c r="N19" s="16" t="str">
        <x:v>https://ieeexplore.ieee.org/document/8373816/</x:v>
      </x:c>
      <x:c r="O19" s="16" t="str">
        <x:v>Modality Comparator</x:v>
      </x:c>
      <x:c r="P19" s="16" t="str">
        <x:v>EEG + eye movement emotion benchmark.</x:v>
      </x:c>
      <x:c r="Q19" s="16" t="str">
        <x:v>No social interaction or peripheral physiology.</x:v>
      </x:c>
      <x:c r="R19" s="16" t="str">
        <x:v>Medium</x:v>
      </x:c>
      <x:c r="S19" s="16" t="str">
        <x:v>Legacy entry — re-verification required</x:v>
      </x:c>
      <x:c r="T19" s="16" t="str">
        <x:v>Not read</x:v>
      </x:c>
      <x:c r="U19" s="16" t="str">
        <x:v>Existing ARL literature</x:v>
      </x:c>
      <x:c r="V19" s="16" t="str">
        <x:v>Pending</x:v>
      </x:c>
      <x:c r="W19" s="16" t="str"/>
      <x:c r="X19" s="16" t="str">
        <x:v>Useful for EEG-eye comparison</x:v>
      </x:c>
      <x:c r="Y19" s="16" t="str"/>
    </x:row>
    <x:row r="20">
      <x:c r="A20" s="16" t="str">
        <x:v>MDMER-0019</x:v>
      </x:c>
      <x:c r="B20" s="16" t="str">
        <x:v>Tier 2</x:v>
      </x:c>
      <x:c r="C20" s="16" t="str">
        <x:v>EEG + eye tracking datasets</x:v>
      </x:c>
      <x:c r="D20" s="16" t="str">
        <x:v>Dataset paper</x:v>
      </x:c>
      <x:c r="E20" s="16" t="str">
        <x:v>Consumer-grade EEG-based Eye Tracking Dataset</x:v>
      </x:c>
      <x:c r="F20" s="16" t="n">
        <x:v>2025</x:v>
      </x:c>
      <x:c r="G20" s="16" t="str">
        <x:v>Authors TBD</x:v>
      </x:c>
      <x:c r="H20" s="16" t="str"/>
      <x:c r="I20" s="16" t="str">
        <x:v>Consumer EEG; webcam eye tracking</x:v>
      </x:c>
      <x:c r="J20" s="16" t="str">
        <x:v>Individual</x:v>
      </x:c>
      <x:c r="K20" s="16" t="str">
        <x:v>Eye movement paradigms</x:v>
      </x:c>
      <x:c r="L20" s="16" t="str">
        <x:v>Likely public</x:v>
      </x:c>
      <x:c r="M20" s="16" t="str">
        <x:v>https://arxiv.org/html/2503.14322v1</x:v>
      </x:c>
      <x:c r="N20" s="16" t="str">
        <x:v>https://arxiv.org/html/2503.14322v1</x:v>
      </x:c>
      <x:c r="O20" s="16" t="str">
        <x:v>Modality Comparator</x:v>
      </x:c>
      <x:c r="P20" s="16" t="str">
        <x:v>Relevant to low-cost EEG + webcam/eye tracking synchronization.</x:v>
      </x:c>
      <x:c r="Q20" s="16" t="str">
        <x:v>No physiology/group task; details need verification.</x:v>
      </x:c>
      <x:c r="R20" s="16" t="str">
        <x:v>Medium</x:v>
      </x:c>
      <x:c r="S20" s="16" t="str">
        <x:v>Legacy entry — re-verification required</x:v>
      </x:c>
      <x:c r="T20" s="16" t="str">
        <x:v>To verify</x:v>
      </x:c>
      <x:c r="U20" s="16" t="str">
        <x:v>Existing ARL literature</x:v>
      </x:c>
      <x:c r="V20" s="16" t="str">
        <x:v>Pending</x:v>
      </x:c>
      <x:c r="W20" s="16" t="str"/>
      <x:c r="X20" s="16" t="str">
        <x:v>Useful if EyeLogic constraints become important</x:v>
      </x:c>
      <x:c r="Y20" s="16" t="str"/>
    </x:row>
    <x:row r="21">
      <x:c r="A21" s="16" t="str">
        <x:v>MDMER-0020</x:v>
      </x:c>
      <x:c r="B21" s="16" t="str">
        <x:v>Tier 2</x:v>
      </x:c>
      <x:c r="C21" s="16" t="str">
        <x:v>EEG + eye tracking datasets</x:v>
      </x:c>
      <x:c r="D21" s="16" t="str">
        <x:v>Dataset paper</x:v>
      </x:c>
      <x:c r="E21" s="16" t="str">
        <x:v>Ocular Activity Dataset: EEG, Eye-tracking, and High-speed Video</x:v>
      </x:c>
      <x:c r="F21" s="16" t="n">
        <x:v>2025</x:v>
      </x:c>
      <x:c r="G21" s="16" t="str">
        <x:v>Guttmann-Flury et al.</x:v>
      </x:c>
      <x:c r="H21" s="16" t="str"/>
      <x:c r="I21" s="16" t="str">
        <x:v>EEG; eye tracking; high-speed video</x:v>
      </x:c>
      <x:c r="J21" s="16" t="str">
        <x:v>Individual</x:v>
      </x:c>
      <x:c r="K21" s="16" t="str">
        <x:v>Ocular behavior / mental states</x:v>
      </x:c>
      <x:c r="L21" s="16" t="str">
        <x:v>Public</x:v>
      </x:c>
      <x:c r="M21" s="16" t="str">
        <x:v>https://pmc.ncbi.nlm.nih.gov/articles/PMC11978869/</x:v>
      </x:c>
      <x:c r="N21" s="16" t="str">
        <x:v>https://pmc.ncbi.nlm.nih.gov/articles/PMC11978869/</x:v>
      </x:c>
      <x:c r="O21" s="16" t="str">
        <x:v>Modality Comparator</x:v>
      </x:c>
      <x:c r="P21" s="16" t="str">
        <x:v>Good multimodal eye/EEG/video reference.</x:v>
      </x:c>
      <x:c r="Q21" s="16" t="str">
        <x:v>No group decision or physiology.</x:v>
      </x:c>
      <x:c r="R21" s="16" t="str">
        <x:v>Medium</x:v>
      </x:c>
      <x:c r="S21" s="16" t="str">
        <x:v>Legacy entry — re-verification required</x:v>
      </x:c>
      <x:c r="T21" s="16" t="str">
        <x:v>Not read</x:v>
      </x:c>
      <x:c r="U21" s="16" t="str">
        <x:v>Existing ARL literature</x:v>
      </x:c>
      <x:c r="V21" s="16" t="str">
        <x:v>Pending</x:v>
      </x:c>
      <x:c r="W21" s="16" t="str"/>
      <x:c r="X21" s="16" t="str">
        <x:v>Useful for ocular artifact handling</x:v>
      </x:c>
      <x:c r="Y21" s="16" t="str"/>
    </x:row>
    <x:row r="22">
      <x:c r="A22" s="16" t="str">
        <x:v>MDMER-0021</x:v>
      </x:c>
      <x:c r="B22" s="16" t="str">
        <x:v>Tier 2</x:v>
      </x:c>
      <x:c r="C22" s="16" t="str">
        <x:v>Social interaction datasets</x:v>
      </x:c>
      <x:c r="D22" s="16" t="str">
        <x:v>Dataset paper</x:v>
      </x:c>
      <x:c r="E22" s="16" t="str">
        <x:v>MELD: Multimodal EmotionLines Dataset</x:v>
      </x:c>
      <x:c r="F22" s="16" t="n">
        <x:v>2019</x:v>
      </x:c>
      <x:c r="G22" s="16" t="str">
        <x:v>Poria et al.</x:v>
      </x:c>
      <x:c r="H22" s="16" t="str"/>
      <x:c r="I22" s="16" t="str">
        <x:v>Text; audio; video</x:v>
      </x:c>
      <x:c r="J22" s="16" t="str">
        <x:v>Multi-party</x:v>
      </x:c>
      <x:c r="K22" s="16" t="str">
        <x:v>TV-series multi-party conversations</x:v>
      </x:c>
      <x:c r="L22" s="16" t="str">
        <x:v>Public</x:v>
      </x:c>
      <x:c r="M22" s="16" t="str">
        <x:v>https://affective-meld.github.io/</x:v>
      </x:c>
      <x:c r="N22" s="16" t="str">
        <x:v>https://aclanthology.org/P19-1050/</x:v>
      </x:c>
      <x:c r="O22" s="16" t="str">
        <x:v>Social/Group Comparator</x:v>
      </x:c>
      <x:c r="P22" s="16" t="str">
        <x:v>Important multi-party conversation benchmark.</x:v>
      </x:c>
      <x:c r="Q22" s="16" t="str">
        <x:v>No physiology; acted/scripted media source.</x:v>
      </x:c>
      <x:c r="R22" s="16" t="str">
        <x:v>Medium</x:v>
      </x:c>
      <x:c r="S22" s="16" t="str">
        <x:v>Legacy entry — re-verification required</x:v>
      </x:c>
      <x:c r="T22" s="16" t="str">
        <x:v>Not read</x:v>
      </x:c>
      <x:c r="U22" s="16" t="str">
        <x:v>Existing ARL literature</x:v>
      </x:c>
      <x:c r="V22" s="16" t="str">
        <x:v>Pending</x:v>
      </x:c>
      <x:c r="W22" s="16" t="str"/>
      <x:c r="X22" s="16" t="str">
        <x:v>Useful for dialogue-level modeling</x:v>
      </x:c>
      <x:c r="Y22" s="16" t="str"/>
    </x:row>
    <x:row r="23">
      <x:c r="A23" s="16" t="str">
        <x:v>MDMER-0022</x:v>
      </x:c>
      <x:c r="B23" s="16" t="str">
        <x:v>Tier 2</x:v>
      </x:c>
      <x:c r="C23" s="16" t="str">
        <x:v>Social interaction datasets</x:v>
      </x:c>
      <x:c r="D23" s="16" t="str">
        <x:v>Dataset paper</x:v>
      </x:c>
      <x:c r="E23" s="16" t="str">
        <x:v>IEMOCAP: Interactive Emotional Dyadic Motion Capture Database</x:v>
      </x:c>
      <x:c r="F23" s="16" t="n">
        <x:v>2008</x:v>
      </x:c>
      <x:c r="G23" s="16" t="str">
        <x:v>Busso et al.</x:v>
      </x:c>
      <x:c r="H23" s="16" t="str"/>
      <x:c r="I23" s="16" t="str">
        <x:v>Audio; video; motion capture; text annotations</x:v>
      </x:c>
      <x:c r="J23" s="16" t="str">
        <x:v>Dyads</x:v>
      </x:c>
      <x:c r="K23" s="16" t="str">
        <x:v>Scripted and spontaneous dialogues</x:v>
      </x:c>
      <x:c r="L23" s="16" t="str">
        <x:v>Research access</x:v>
      </x:c>
      <x:c r="M23" s="16" t="str">
        <x:v>https://sail.usc.edu/iemocap/</x:v>
      </x:c>
      <x:c r="N23" s="16" t="str">
        <x:v>https://www.carlosbusso.com/publications/Busso_2008_5.pdf</x:v>
      </x:c>
      <x:c r="O23" s="16" t="str">
        <x:v>Social/Group Comparator</x:v>
      </x:c>
      <x:c r="P23" s="16" t="str">
        <x:v>Classic interactive dyadic multimodal emotion dataset.</x:v>
      </x:c>
      <x:c r="Q23" s="16" t="str">
        <x:v>No physiology; dyadic actors.</x:v>
      </x:c>
      <x:c r="R23" s="16" t="str">
        <x:v>Medium</x:v>
      </x:c>
      <x:c r="S23" s="16" t="str">
        <x:v>Legacy entry — re-verification required</x:v>
      </x:c>
      <x:c r="T23" s="16" t="str">
        <x:v>Not read</x:v>
      </x:c>
      <x:c r="U23" s="16" t="str">
        <x:v>Existing ARL literature</x:v>
      </x:c>
      <x:c r="V23" s="16" t="str">
        <x:v>Pending</x:v>
      </x:c>
      <x:c r="W23" s="16" t="str"/>
      <x:c r="X23" s="16" t="str">
        <x:v>Useful for audio/video annotation</x:v>
      </x:c>
      <x:c r="Y23" s="16" t="str"/>
    </x:row>
    <x:row r="24">
      <x:c r="A24" s="16" t="str">
        <x:v>MDMER-0023</x:v>
      </x:c>
      <x:c r="B24" s="16" t="str">
        <x:v>Tier 2</x:v>
      </x:c>
      <x:c r="C24" s="16" t="str">
        <x:v>Meeting / group interaction</x:v>
      </x:c>
      <x:c r="D24" s="16" t="str">
        <x:v>Dataset paper</x:v>
      </x:c>
      <x:c r="E24" s="16" t="str">
        <x:v>ICSI Meeting Corpus</x:v>
      </x:c>
      <x:c r="F24" s="16" t="n">
        <x:v>2004</x:v>
      </x:c>
      <x:c r="G24" s="16" t="str">
        <x:v>Janin et al.</x:v>
      </x:c>
      <x:c r="H24" s="16" t="str"/>
      <x:c r="I24" s="16" t="str">
        <x:v>Multi-channel audio; transcripts</x:v>
      </x:c>
      <x:c r="J24" s="16" t="str">
        <x:v>Groups</x:v>
      </x:c>
      <x:c r="K24" s="16" t="str">
        <x:v>Meetings</x:v>
      </x:c>
      <x:c r="L24" s="16" t="str">
        <x:v>Public/research</x:v>
      </x:c>
      <x:c r="M24" s="16" t="str">
        <x:v>http://www1.icsi.berkeley.edu/Speech/mr/</x:v>
      </x:c>
      <x:c r="N24" s="16" t="str">
        <x:v>https://www1.icsi.berkeley.edu/Speech/papers/icsi05-meeting-corpus.pdf</x:v>
      </x:c>
      <x:c r="O24" s="16" t="str">
        <x:v>Background Evidence</x:v>
      </x:c>
      <x:c r="P24" s="16" t="str">
        <x:v>Classic meeting corpus for conversation/speaker interaction.</x:v>
      </x:c>
      <x:c r="Q24" s="16" t="str">
        <x:v>No physiology/video in main corpus; not decision physiology.</x:v>
      </x:c>
      <x:c r="R24" s="16" t="str">
        <x:v>Medium</x:v>
      </x:c>
      <x:c r="S24" s="16" t="str">
        <x:v>Legacy entry — re-verification required</x:v>
      </x:c>
      <x:c r="T24" s="16" t="str">
        <x:v>Not read</x:v>
      </x:c>
      <x:c r="U24" s="16" t="str">
        <x:v>Existing ARL literature</x:v>
      </x:c>
      <x:c r="V24" s="16" t="str">
        <x:v>Pending</x:v>
      </x:c>
      <x:c r="W24" s="16" t="str"/>
      <x:c r="X24" s="16" t="str">
        <x:v>Useful for speech segmentation</x:v>
      </x:c>
      <x:c r="Y24" s="16" t="str"/>
    </x:row>
    <x:row r="25">
      <x:c r="A25" s="16" t="str">
        <x:v>MDMER-0024</x:v>
      </x:c>
      <x:c r="B25" s="16" t="str">
        <x:v>Tier 2</x:v>
      </x:c>
      <x:c r="C25" s="16" t="str">
        <x:v>Meeting / group interaction</x:v>
      </x:c>
      <x:c r="D25" s="16" t="str">
        <x:v>Dataset paper</x:v>
      </x:c>
      <x:c r="E25" s="16" t="str">
        <x:v>ELEA Audio-Visual Synchronous Corpus</x:v>
      </x:c>
      <x:c r="F25" s="16" t="n">
        <x:v>2012</x:v>
      </x:c>
      <x:c r="G25" s="16" t="str">
        <x:v>Sanchez-Cortes et al.</x:v>
      </x:c>
      <x:c r="H25" s="16" t="str"/>
      <x:c r="I25" s="16" t="str">
        <x:v>Audio; video; nonverbal behavior annotations</x:v>
      </x:c>
      <x:c r="J25" s="16" t="str">
        <x:v>Small groups</x:v>
      </x:c>
      <x:c r="K25" s="16" t="str">
        <x:v>Leadership emergence / group discussion</x:v>
      </x:c>
      <x:c r="L25" s="16" t="str">
        <x:v>Research access</x:v>
      </x:c>
      <x:c r="M25" s="16" t="str"/>
      <x:c r="N25" s="16" t="str">
        <x:v>https://dl.acm.org/doi/10.1145/2388676.2388680</x:v>
      </x:c>
      <x:c r="O25" s="16" t="str">
        <x:v>Background Evidence</x:v>
      </x:c>
      <x:c r="P25" s="16" t="str">
        <x:v>Relevant for small-group behavior and leadership/dominance.</x:v>
      </x:c>
      <x:c r="Q25" s="16" t="str">
        <x:v>No physiology or deception paradigm.</x:v>
      </x:c>
      <x:c r="R25" s="16" t="str">
        <x:v>Medium</x:v>
      </x:c>
      <x:c r="S25" s="16" t="str">
        <x:v>Legacy entry — re-verification required</x:v>
      </x:c>
      <x:c r="T25" s="16" t="str">
        <x:v>To verify</x:v>
      </x:c>
      <x:c r="U25" s="16" t="str">
        <x:v>Existing ARL literature</x:v>
      </x:c>
      <x:c r="V25" s="16" t="str">
        <x:v>Pending</x:v>
      </x:c>
      <x:c r="W25" s="16" t="str"/>
      <x:c r="X25" s="16" t="str">
        <x:v>Useful for social dynamics</x:v>
      </x:c>
      <x:c r="Y25" s="16" t="str"/>
    </x:row>
    <x:row r="26">
      <x:c r="A26" s="16" t="str">
        <x:v>MDMER-0025</x:v>
      </x:c>
      <x:c r="B26" s="16" t="str">
        <x:v>Tier 2</x:v>
      </x:c>
      <x:c r="C26" s="16" t="str">
        <x:v>Meeting / group interaction</x:v>
      </x:c>
      <x:c r="D26" s="16" t="str">
        <x:v>Dataset paper</x:v>
      </x:c>
      <x:c r="E26" s="16" t="str">
        <x:v>MPIIGroupInteraction: Multi-person Group Interaction Dataset</x:v>
      </x:c>
      <x:c r="F26" s="16" t="n">
        <x:v>2018</x:v>
      </x:c>
      <x:c r="G26" s="16" t="str">
        <x:v>Müller et al.</x:v>
      </x:c>
      <x:c r="H26" s="16" t="str"/>
      <x:c r="I26" s="16" t="str">
        <x:v>Video; pose/behavior annotations</x:v>
      </x:c>
      <x:c r="J26" s="16" t="str">
        <x:v>Groups</x:v>
      </x:c>
      <x:c r="K26" s="16" t="str">
        <x:v>Natural group conversation</x:v>
      </x:c>
      <x:c r="L26" s="16" t="str">
        <x:v>Research/public</x:v>
      </x:c>
      <x:c r="M26" s="16" t="str">
        <x:v>https://team.inria.fr/robotlearn/the-mpii-group-interaction-dataset/</x:v>
      </x:c>
      <x:c r="N26" s="16" t="str">
        <x:v>https://openaccess.thecvf.com/content_cvpr_2018_workshops/w32/html/Muller_Multi-Person_3D_Pose_CVPR_2018_paper.html</x:v>
      </x:c>
      <x:c r="O26" s="16" t="str">
        <x:v>Background Evidence</x:v>
      </x:c>
      <x:c r="P26" s="16" t="str">
        <x:v>Relevant for group visual behavior analysis.</x:v>
      </x:c>
      <x:c r="Q26" s="16" t="str">
        <x:v>No physiology/audio focus; not task-controlled.</x:v>
      </x:c>
      <x:c r="R26" s="16" t="str">
        <x:v>Medium</x:v>
      </x:c>
      <x:c r="S26" s="16" t="str">
        <x:v>Legacy entry — re-verification required</x:v>
      </x:c>
      <x:c r="T26" s="16" t="str">
        <x:v>To verify</x:v>
      </x:c>
      <x:c r="U26" s="16" t="str">
        <x:v>Existing ARL literature</x:v>
      </x:c>
      <x:c r="V26" s="16" t="str">
        <x:v>Pending</x:v>
      </x:c>
      <x:c r="W26" s="16" t="str"/>
      <x:c r="X26" s="16" t="str">
        <x:v>Optional computer-vision angle</x:v>
      </x:c>
      <x:c r="Y26" s="16" t="str"/>
    </x:row>
    <x:row r="27">
      <x:c r="A27" s="16" t="str">
        <x:v>MDMER-0026</x:v>
      </x:c>
      <x:c r="B27" s="16" t="str">
        <x:v>Tier 2</x:v>
      </x:c>
      <x:c r="C27" s="16" t="str">
        <x:v>Social interaction datasets</x:v>
      </x:c>
      <x:c r="D27" s="16" t="str">
        <x:v>Dataset paper</x:v>
      </x:c>
      <x:c r="E27" s="16" t="str">
        <x:v>MatchNMingle: Multi-sensor Social Mingling Dataset</x:v>
      </x:c>
      <x:c r="F27" s="16" t="n">
        <x:v>2018</x:v>
      </x:c>
      <x:c r="G27" s="16" t="str">
        <x:v>Cabrera-Quiros et al.</x:v>
      </x:c>
      <x:c r="H27" s="16" t="str"/>
      <x:c r="I27" s="16" t="str">
        <x:v>Wearable acceleration; proximity; audio; video annotations</x:v>
      </x:c>
      <x:c r="J27" s="16" t="str">
        <x:v>Groups/social event</x:v>
      </x:c>
      <x:c r="K27" s="16" t="str">
        <x:v>Free mingling interaction</x:v>
      </x:c>
      <x:c r="L27" s="16" t="str">
        <x:v>Research access</x:v>
      </x:c>
      <x:c r="M27" s="16" t="str"/>
      <x:c r="N27" s="16" t="str">
        <x:v>https://dl.acm.org/doi/10.1145/3267305.3274114</x:v>
      </x:c>
      <x:c r="O27" s="16" t="str">
        <x:v>Social/Group Comparator</x:v>
      </x:c>
      <x:c r="P27" s="16" t="str">
        <x:v>Useful for group social dynamics and wearable sensing.</x:v>
      </x:c>
      <x:c r="Q27" s="16" t="str">
        <x:v>No EEG/ECG/GSR; not decision task.</x:v>
      </x:c>
      <x:c r="R27" s="16" t="str">
        <x:v>Medium</x:v>
      </x:c>
      <x:c r="S27" s="16" t="str">
        <x:v>Legacy entry — re-verification required</x:v>
      </x:c>
      <x:c r="T27" s="16" t="str">
        <x:v>To verify</x:v>
      </x:c>
      <x:c r="U27" s="16" t="str">
        <x:v>Existing ARL literature</x:v>
      </x:c>
      <x:c r="V27" s="16" t="str">
        <x:v>Pending</x:v>
      </x:c>
      <x:c r="W27" s="16" t="str"/>
      <x:c r="X27" s="16" t="str">
        <x:v>Good for social network features</x:v>
      </x:c>
      <x:c r="Y27" s="16" t="str"/>
    </x:row>
    <x:row r="28">
      <x:c r="A28" s="16" t="str">
        <x:v>MDMER-0027</x:v>
      </x:c>
      <x:c r="B28" s="16" t="str">
        <x:v>Tier 2</x:v>
      </x:c>
      <x:c r="C28" s="16" t="str">
        <x:v>Social interaction datasets</x:v>
      </x:c>
      <x:c r="D28" s="16" t="str">
        <x:v>Dataset paper</x:v>
      </x:c>
      <x:c r="E28" s="16" t="str">
        <x:v>NOXI Database: Multimodal Natural Human-Computer Interaction</x:v>
      </x:c>
      <x:c r="F28" s="16" t="n">
        <x:v>2017</x:v>
      </x:c>
      <x:c r="G28" s="16" t="str">
        <x:v>Cafaro et al.</x:v>
      </x:c>
      <x:c r="H28" s="16" t="str"/>
      <x:c r="I28" s="16" t="str">
        <x:v>Audio; video; motion/behavior</x:v>
      </x:c>
      <x:c r="J28" s="16" t="str">
        <x:v>Dyads/HCI</x:v>
      </x:c>
      <x:c r="K28" s="16" t="str">
        <x:v>Expert-novice interaction</x:v>
      </x:c>
      <x:c r="L28" s="16" t="str">
        <x:v>Research access</x:v>
      </x:c>
      <x:c r="M28" s="16" t="str">
        <x:v>https://noxi.aria-agent.eu/</x:v>
      </x:c>
      <x:c r="N28" s="16" t="str">
        <x:v>https://dl.acm.org/doi/10.1145/3136755.3136759</x:v>
      </x:c>
      <x:c r="O28" s="16" t="str">
        <x:v>Social/Group Comparator</x:v>
      </x:c>
      <x:c r="P28" s="16" t="str">
        <x:v>Useful for naturalistic interaction and nonverbal cues.</x:v>
      </x:c>
      <x:c r="Q28" s="16" t="str">
        <x:v>No physiology; not group decision.</x:v>
      </x:c>
      <x:c r="R28" s="16" t="str">
        <x:v>Low</x:v>
      </x:c>
      <x:c r="S28" s="16" t="str">
        <x:v>Legacy entry — re-verification required</x:v>
      </x:c>
      <x:c r="T28" s="16" t="str">
        <x:v>To verify</x:v>
      </x:c>
      <x:c r="U28" s="16" t="str">
        <x:v>Existing ARL literature</x:v>
      </x:c>
      <x:c r="V28" s="16" t="str">
        <x:v>Pending</x:v>
      </x:c>
      <x:c r="W28" s="16" t="str"/>
      <x:c r="X28" s="16" t="str">
        <x:v>Peripheral relevance</x:v>
      </x:c>
      <x:c r="Y28" s="16" t="str"/>
    </x:row>
    <x:row r="29">
      <x:c r="A29" s="16" t="str">
        <x:v>MDMER-0028</x:v>
      </x:c>
      <x:c r="B29" s="16" t="str">
        <x:v>Tier 2</x:v>
      </x:c>
      <x:c r="C29" s="16" t="str">
        <x:v>Social interaction datasets</x:v>
      </x:c>
      <x:c r="D29" s="16" t="str">
        <x:v>Dataset paper</x:v>
      </x:c>
      <x:c r="E29" s="16" t="str">
        <x:v>Aff-Wild: In-the-Wild Affect Recognition Database</x:v>
      </x:c>
      <x:c r="F29" s="16" t="n">
        <x:v>2019</x:v>
      </x:c>
      <x:c r="G29" s="16" t="str">
        <x:v>Kollias et al.</x:v>
      </x:c>
      <x:c r="H29" s="16" t="str"/>
      <x:c r="I29" s="16" t="str">
        <x:v>Video; audio in related variants; valence/arousal annotations</x:v>
      </x:c>
      <x:c r="J29" s="16" t="str">
        <x:v>Individual/video subjects</x:v>
      </x:c>
      <x:c r="K29" s="16" t="str">
        <x:v>In-the-wild affect videos</x:v>
      </x:c>
      <x:c r="L29" s="16" t="str">
        <x:v>Research access</x:v>
      </x:c>
      <x:c r="M29" s="16" t="str">
        <x:v>https://ibug.doc.ic.ac.uk/resources/aff-wild2/</x:v>
      </x:c>
      <x:c r="N29" s="16" t="str">
        <x:v>https://link.springer.com/article/10.1007/s11263-019-01158-4</x:v>
      </x:c>
      <x:c r="O29" s="16" t="str">
        <x:v>Social/Group Comparator</x:v>
      </x:c>
      <x:c r="P29" s="16" t="str">
        <x:v>Useful for video affect benchmark context.</x:v>
      </x:c>
      <x:c r="Q29" s="16" t="str">
        <x:v>No physiology/group task.</x:v>
      </x:c>
      <x:c r="R29" s="16" t="str">
        <x:v>Low</x:v>
      </x:c>
      <x:c r="S29" s="16" t="str">
        <x:v>Legacy entry — re-verification required</x:v>
      </x:c>
      <x:c r="T29" s="16" t="str">
        <x:v>Not read</x:v>
      </x:c>
      <x:c r="U29" s="16" t="str">
        <x:v>Existing ARL literature</x:v>
      </x:c>
      <x:c r="V29" s="16" t="str">
        <x:v>Pending</x:v>
      </x:c>
      <x:c r="W29" s="16" t="str"/>
      <x:c r="X29" s="16" t="str">
        <x:v>Not core but recognizable</x:v>
      </x:c>
      <x:c r="Y29" s="16" t="str"/>
    </x:row>
    <x:row r="30">
      <x:c r="A30" s="16" t="str">
        <x:v>MDMER-0029</x:v>
      </x:c>
      <x:c r="B30" s="16" t="str">
        <x:v>Tier 2</x:v>
      </x:c>
      <x:c r="C30" s="16" t="str">
        <x:v>Social interaction datasets</x:v>
      </x:c>
      <x:c r="D30" s="16" t="str">
        <x:v>Dataset paper</x:v>
      </x:c>
      <x:c r="E30" s="16" t="str">
        <x:v>AVEC Challenges / Audio-Visual Emotion Challenge Corpora</x:v>
      </x:c>
      <x:c r="F30" s="16" t="n">
        <x:v>2016</x:v>
      </x:c>
      <x:c r="G30" s="16" t="str">
        <x:v>Valstar/Ringeval et al.</x:v>
      </x:c>
      <x:c r="H30" s="16" t="str"/>
      <x:c r="I30" s="16" t="str">
        <x:v>Audio; video; physiology depending on year</x:v>
      </x:c>
      <x:c r="J30" s="16" t="str">
        <x:v>Dyads/individual</x:v>
      </x:c>
      <x:c r="K30" s="16" t="str">
        <x:v>Affect/depression/emotion challenge tasks</x:v>
      </x:c>
      <x:c r="L30" s="16" t="str">
        <x:v>Research access</x:v>
      </x:c>
      <x:c r="M30" s="16" t="str">
        <x:v>https://avec-challenge.org/</x:v>
      </x:c>
      <x:c r="N30" s="16" t="str">
        <x:v>https://d-nb.info/1248484878/34</x:v>
      </x:c>
      <x:c r="O30" s="16" t="str">
        <x:v>Social/Group Comparator</x:v>
      </x:c>
      <x:c r="P30" s="16" t="str">
        <x:v>Useful benchmark family for multimodal affect.</x:v>
      </x:c>
      <x:c r="Q30" s="16" t="str">
        <x:v>Not tailored to group decision; varies by year.</x:v>
      </x:c>
      <x:c r="R30" s="16" t="str">
        <x:v>Medium</x:v>
      </x:c>
      <x:c r="S30" s="16" t="str">
        <x:v>Legacy entry — re-verification required</x:v>
      </x:c>
      <x:c r="T30" s="16" t="str">
        <x:v>Not read</x:v>
      </x:c>
      <x:c r="U30" s="16" t="str">
        <x:v>Existing ARL literature</x:v>
      </x:c>
      <x:c r="V30" s="16" t="str">
        <x:v>Pending</x:v>
      </x:c>
      <x:c r="W30" s="16" t="str"/>
      <x:c r="X30" s="16" t="str">
        <x:v>Cite if benchmarking methods</x:v>
      </x:c>
      <x:c r="Y30" s="16" t="str"/>
    </x:row>
    <x:row r="31">
      <x:c r="A31" s="16" t="str">
        <x:v>MDMER-0030</x:v>
      </x:c>
      <x:c r="B31" s="16" t="str">
        <x:v>Tier 2</x:v>
      </x:c>
      <x:c r="C31" s="16" t="str">
        <x:v>Affective computing reviews</x:v>
      </x:c>
      <x:c r="D31" s="16" t="str">
        <x:v>Review paper</x:v>
      </x:c>
      <x:c r="E31" s="16" t="str">
        <x:v>A Survey on Databases for Multimodal Emotion Recognition</x:v>
      </x:c>
      <x:c r="F31" s="16" t="n">
        <x:v>2022</x:v>
      </x:c>
      <x:c r="G31" s="16" t="str">
        <x:v>Siddiqui et al.</x:v>
      </x:c>
      <x:c r="H31" s="16" t="str"/>
      <x:c r="I31" s="16" t="str">
        <x:v>Review across audio; video; physiology; text</x:v>
      </x:c>
      <x:c r="J31" s="16" t="str">
        <x:v>Mixed</x:v>
      </x:c>
      <x:c r="K31" s="16" t="str">
        <x:v>Review/taxonomy</x:v>
      </x:c>
      <x:c r="L31" s="16" t="str">
        <x:v>Open</x:v>
      </x:c>
      <x:c r="M31" s="16" t="str">
        <x:v>https://www.mdpi.com/2414-4088/6/6/47</x:v>
      </x:c>
      <x:c r="N31" s="16" t="str">
        <x:v>https://www.mdpi.com/2414-4088/6/6/47</x:v>
      </x:c>
      <x:c r="O31" s="16" t="str">
        <x:v>Background Evidence</x:v>
      </x:c>
      <x:c r="P31" s="16" t="str">
        <x:v>Good source to map dataset landscape.</x:v>
      </x:c>
      <x:c r="Q31" s="16" t="str">
        <x:v>Review only; not specific to decision/social deduction.</x:v>
      </x:c>
      <x:c r="R31" s="16" t="str">
        <x:v>High</x:v>
      </x:c>
      <x:c r="S31" s="16" t="str">
        <x:v>Legacy entry — re-verification required</x:v>
      </x:c>
      <x:c r="T31" s="16" t="str">
        <x:v>Not read</x:v>
      </x:c>
      <x:c r="U31" s="16" t="str">
        <x:v>Existing ARL literature</x:v>
      </x:c>
      <x:c r="V31" s="16" t="str">
        <x:v>Pending</x:v>
      </x:c>
      <x:c r="W31" s="16" t="str"/>
      <x:c r="X31" s="16" t="str">
        <x:v>Can guide expansion beyond 50</x:v>
      </x:c>
      <x:c r="Y31" s="16" t="str"/>
    </x:row>
    <x:row r="32">
      <x:c r="A32" s="16" t="str">
        <x:v>MDMER-0031</x:v>
      </x:c>
      <x:c r="B32" s="16" t="str">
        <x:v>Tier 3</x:v>
      </x:c>
      <x:c r="C32" s="16" t="str">
        <x:v>Decision/social neuroscience</x:v>
      </x:c>
      <x:c r="D32" s="16" t="str">
        <x:v>Review paper</x:v>
      </x:c>
      <x:c r="E32" s="16" t="str">
        <x:v>Hyperscanning: A Valid Method to Study Neural Inter-brain Underpinnings of Social Interaction</x:v>
      </x:c>
      <x:c r="F32" s="16" t="n">
        <x:v>2020</x:v>
      </x:c>
      <x:c r="G32" s="16" t="str">
        <x:v>Czeszumski et al.</x:v>
      </x:c>
      <x:c r="H32" s="16" t="str"/>
      <x:c r="I32" s="16" t="str">
        <x:v>EEG/fNIRS/fMRI hyperscanning methods</x:v>
      </x:c>
      <x:c r="J32" s="16" t="str">
        <x:v>Dyads/groups</x:v>
      </x:c>
      <x:c r="K32" s="16" t="str">
        <x:v>Social interaction review</x:v>
      </x:c>
      <x:c r="L32" s="16" t="str">
        <x:v>Open</x:v>
      </x:c>
      <x:c r="M32" s="16" t="str">
        <x:v>https://www.frontiersin.org/articles/10.3389/fnhum.2020.00039/full</x:v>
      </x:c>
      <x:c r="N32" s="16" t="str">
        <x:v>https://www.frontiersin.org/articles/10.3389/fnhum.2020.00039/full</x:v>
      </x:c>
      <x:c r="O32" s="16" t="str">
        <x:v>Decision-Making Comparator</x:v>
      </x:c>
      <x:c r="P32" s="16" t="str">
        <x:v>Foundational hyperscanning methods and analysis reference.</x:v>
      </x:c>
      <x:c r="Q32" s="16" t="str">
        <x:v>Not a dataset; broader than ARL.</x:v>
      </x:c>
      <x:c r="R32" s="16" t="str">
        <x:v>High</x:v>
      </x:c>
      <x:c r="S32" s="16" t="str">
        <x:v>Legacy entry — re-verification required</x:v>
      </x:c>
      <x:c r="T32" s="16" t="str">
        <x:v>Not read</x:v>
      </x:c>
      <x:c r="U32" s="16" t="str">
        <x:v>Existing ARL literature</x:v>
      </x:c>
      <x:c r="V32" s="16" t="str">
        <x:v>Pending</x:v>
      </x:c>
      <x:c r="W32" s="16" t="str"/>
      <x:c r="X32" s="16" t="str">
        <x:v>Use in theoretical framing</x:v>
      </x:c>
      <x:c r="Y32" s="16" t="str"/>
    </x:row>
    <x:row r="33">
      <x:c r="A33" s="16" t="str">
        <x:v>MDMER-0032</x:v>
      </x:c>
      <x:c r="B33" s="16" t="str">
        <x:v>Tier 3</x:v>
      </x:c>
      <x:c r="C33" s="16" t="str">
        <x:v>Decision/social neuroscience</x:v>
      </x:c>
      <x:c r="D33" s="16" t="str">
        <x:v>Review paper</x:v>
      </x:c>
      <x:c r="E33" s="16" t="str">
        <x:v>Review and Progress on EEG-Based Hyperscanning in Social Interactions</x:v>
      </x:c>
      <x:c r="F33" s="16" t="n">
        <x:v>2018</x:v>
      </x:c>
      <x:c r="G33" s="16" t="str">
        <x:v>Liu et al.</x:v>
      </x:c>
      <x:c r="H33" s="16" t="str"/>
      <x:c r="I33" s="16" t="str">
        <x:v>EEG hyperscanning</x:v>
      </x:c>
      <x:c r="J33" s="16" t="str">
        <x:v>Dyads/groups</x:v>
      </x:c>
      <x:c r="K33" s="16" t="str">
        <x:v>Social interaction review</x:v>
      </x:c>
      <x:c r="L33" s="16" t="str">
        <x:v>Open</x:v>
      </x:c>
      <x:c r="M33" s="16" t="str">
        <x:v>https://pmc.ncbi.nlm.nih.gov/articles/PMC6186988/</x:v>
      </x:c>
      <x:c r="N33" s="16" t="str">
        <x:v>https://pmc.ncbi.nlm.nih.gov/articles/PMC6186988/</x:v>
      </x:c>
      <x:c r="O33" s="16" t="str">
        <x:v>Decision-Making Comparator</x:v>
      </x:c>
      <x:c r="P33" s="16" t="str">
        <x:v>Directly supports multi-person EEG framing.</x:v>
      </x:c>
      <x:c r="Q33" s="16" t="str">
        <x:v>Not multimodal dataset-specific.</x:v>
      </x:c>
      <x:c r="R33" s="16" t="str">
        <x:v>High</x:v>
      </x:c>
      <x:c r="S33" s="16" t="str">
        <x:v>Legacy entry — re-verification required</x:v>
      </x:c>
      <x:c r="T33" s="16" t="str">
        <x:v>Not read</x:v>
      </x:c>
      <x:c r="U33" s="16" t="str">
        <x:v>Existing ARL literature</x:v>
      </x:c>
      <x:c r="V33" s="16" t="str">
        <x:v>Pending</x:v>
      </x:c>
      <x:c r="W33" s="16" t="str"/>
      <x:c r="X33" s="16" t="str">
        <x:v>Use for multi-brain rationale</x:v>
      </x:c>
      <x:c r="Y33" s="16" t="str"/>
    </x:row>
    <x:row r="34">
      <x:c r="A34" s="16" t="str">
        <x:v>MDMER-0033</x:v>
      </x:c>
      <x:c r="B34" s="16" t="str">
        <x:v>Tier 3</x:v>
      </x:c>
      <x:c r="C34" s="16" t="str">
        <x:v>Decision/social neuroscience</x:v>
      </x:c>
      <x:c r="D34" s="16" t="str">
        <x:v>Review paper</x:v>
      </x:c>
      <x:c r="E34" s="16" t="str">
        <x:v>Cooperation and Competition with Hyperscanning Methods</x:v>
      </x:c>
      <x:c r="F34" s="16" t="n">
        <x:v>2017</x:v>
      </x:c>
      <x:c r="G34" s="16" t="str">
        <x:v>Balconi &amp; Vanutelli</x:v>
      </x:c>
      <x:c r="H34" s="16" t="str"/>
      <x:c r="I34" s="16" t="str">
        <x:v>EEG/fNIRS hyperscanning</x:v>
      </x:c>
      <x:c r="J34" s="16" t="str">
        <x:v>Dyads/groups</x:v>
      </x:c>
      <x:c r="K34" s="16" t="str">
        <x:v>Cooperation/competition review</x:v>
      </x:c>
      <x:c r="L34" s="16" t="str">
        <x:v>Open</x:v>
      </x:c>
      <x:c r="M34" s="16" t="str">
        <x:v>https://www.frontiersin.org/articles/10.3389/fncom.2017.00086/full</x:v>
      </x:c>
      <x:c r="N34" s="16" t="str">
        <x:v>https://www.frontiersin.org/articles/10.3389/fncom.2017.00086/full</x:v>
      </x:c>
      <x:c r="O34" s="16" t="str">
        <x:v>Decision-Making Comparator</x:v>
      </x:c>
      <x:c r="P34" s="16" t="str">
        <x:v>Relevant to cooperation/competition dynamics in spy game.</x:v>
      </x:c>
      <x:c r="Q34" s="16" t="str">
        <x:v>Review only; no ARL-like multimodal release.</x:v>
      </x:c>
      <x:c r="R34" s="16" t="str">
        <x:v>Medium</x:v>
      </x:c>
      <x:c r="S34" s="16" t="str">
        <x:v>Legacy entry — re-verification required</x:v>
      </x:c>
      <x:c r="T34" s="16" t="str">
        <x:v>Not read</x:v>
      </x:c>
      <x:c r="U34" s="16" t="str">
        <x:v>Existing ARL literature</x:v>
      </x:c>
      <x:c r="V34" s="16" t="str">
        <x:v>Pending</x:v>
      </x:c>
      <x:c r="W34" s="16" t="str"/>
      <x:c r="X34" s="16" t="str">
        <x:v>Useful for discussion</x:v>
      </x:c>
      <x:c r="Y34" s="16" t="str"/>
    </x:row>
    <x:row r="35">
      <x:c r="A35" s="16" t="str">
        <x:v>MDMER-0034</x:v>
      </x:c>
      <x:c r="B35" s="16" t="str">
        <x:v>Tier 3</x:v>
      </x:c>
      <x:c r="C35" s="16" t="str">
        <x:v>Decision/social neuroscience</x:v>
      </x:c>
      <x:c r="D35" s="16" t="str">
        <x:v>Research paper</x:v>
      </x:c>
      <x:c r="E35" s="16" t="str">
        <x:v>Cortical Activity and Connectivity During Prisoner's Dilemma: An EEG Hyperscanning Study</x:v>
      </x:c>
      <x:c r="F35" s="16" t="n">
        <x:v>2007</x:v>
      </x:c>
      <x:c r="G35" s="16" t="str">
        <x:v>Babiloni et al.</x:v>
      </x:c>
      <x:c r="H35" s="16" t="str"/>
      <x:c r="I35" s="16" t="str">
        <x:v>EEG hyperscanning</x:v>
      </x:c>
      <x:c r="J35" s="16" t="str">
        <x:v>Multiple participants</x:v>
      </x:c>
      <x:c r="K35" s="16" t="str">
        <x:v>Prisoner's dilemma</x:v>
      </x:c>
      <x:c r="L35" s="16" t="str">
        <x:v>Publication only</x:v>
      </x:c>
      <x:c r="M35" s="16" t="str"/>
      <x:c r="N35" s="16" t="str">
        <x:v>https://pubmed.ncbi.nlm.nih.gov/18003118/</x:v>
      </x:c>
      <x:c r="O35" s="16" t="str">
        <x:v>Decision-Making Comparator</x:v>
      </x:c>
      <x:c r="P35" s="16" t="str">
        <x:v>Classic EEG hyperscanning decision-making study.</x:v>
      </x:c>
      <x:c r="Q35" s="16" t="str">
        <x:v>Not public multimodal dataset; no multimodal signals.</x:v>
      </x:c>
      <x:c r="R35" s="16" t="str">
        <x:v>High</x:v>
      </x:c>
      <x:c r="S35" s="16" t="str">
        <x:v>Legacy entry — re-verification required</x:v>
      </x:c>
      <x:c r="T35" s="16" t="str">
        <x:v>Not read</x:v>
      </x:c>
      <x:c r="U35" s="16" t="str">
        <x:v>Existing ARL literature</x:v>
      </x:c>
      <x:c r="V35" s="16" t="str">
        <x:v>Pending</x:v>
      </x:c>
      <x:c r="W35" s="16" t="str"/>
      <x:c r="X35" s="16" t="str">
        <x:v>Conceptually important</x:v>
      </x:c>
      <x:c r="Y35" s="16" t="str"/>
    </x:row>
    <x:row r="36">
      <x:c r="A36" s="16" t="str">
        <x:v>MDMER-0035</x:v>
      </x:c>
      <x:c r="B36" s="16" t="str">
        <x:v>Tier 3</x:v>
      </x:c>
      <x:c r="C36" s="16" t="str">
        <x:v>Decision/social neuroscience</x:v>
      </x:c>
      <x:c r="D36" s="16" t="str">
        <x:v>Dataset paper</x:v>
      </x:c>
      <x:c r="E36" s="16" t="str">
        <x:v>EEG-BIDS Three-Person Hyperscanning Prisoner's Dilemma Dataset</x:v>
      </x:c>
      <x:c r="F36" s="16" t="n">
        <x:v>2026</x:v>
      </x:c>
      <x:c r="G36" s="16" t="str">
        <x:v>OpenNeuro ds007822</x:v>
      </x:c>
      <x:c r="H36" s="16" t="str"/>
      <x:c r="I36" s="16" t="str">
        <x:v>EEG; behavioral data</x:v>
      </x:c>
      <x:c r="J36" s="16" t="str">
        <x:v>Three-person groups/triads</x:v>
      </x:c>
      <x:c r="K36" s="16" t="str">
        <x:v>Prisoner's dilemma</x:v>
      </x:c>
      <x:c r="L36" s="16" t="str">
        <x:v>Public</x:v>
      </x:c>
      <x:c r="M36" s="16" t="str">
        <x:v>https://openneuro.org/datasets/ds007822/versions/1.0.0</x:v>
      </x:c>
      <x:c r="N36" s="16" t="str">
        <x:v>https://openneuro.org/datasets/ds007822/versions/1.0.0</x:v>
      </x:c>
      <x:c r="O36" s="16" t="str">
        <x:v>Decision-Making Comparator</x:v>
      </x:c>
      <x:c r="P36" s="16" t="str">
        <x:v>Very close on group decision + EEG hyperscanning.</x:v>
      </x:c>
      <x:c r="Q36" s="16" t="str">
        <x:v>No multimodal physiology/audio/video/eye tracking; 3 not 5 people.</x:v>
      </x:c>
      <x:c r="R36" s="16" t="str">
        <x:v>High</x:v>
      </x:c>
      <x:c r="S36" s="16" t="str">
        <x:v>Legacy entry — re-verification required</x:v>
      </x:c>
      <x:c r="T36" s="16" t="str">
        <x:v>Not read</x:v>
      </x:c>
      <x:c r="U36" s="16" t="str">
        <x:v>Existing ARL literature</x:v>
      </x:c>
      <x:c r="V36" s="16" t="str">
        <x:v>Pending</x:v>
      </x:c>
      <x:c r="W36" s="16" t="str"/>
      <x:c r="X36" s="16" t="str">
        <x:v>Important ARL comparison</x:v>
      </x:c>
      <x:c r="Y36" s="16" t="str"/>
    </x:row>
    <x:row r="37">
      <x:c r="A37" s="16" t="str">
        <x:v>MDMER-0036</x:v>
      </x:c>
      <x:c r="B37" s="16" t="str">
        <x:v>Tier 3</x:v>
      </x:c>
      <x:c r="C37" s="16" t="str">
        <x:v>Decision/social neuroscience</x:v>
      </x:c>
      <x:c r="D37" s="16" t="str">
        <x:v>Research paper</x:v>
      </x:c>
      <x:c r="E37" s="16" t="str">
        <x:v>EEG Hyperscanning Reveals Dynamic Interbrain Network Reorganization During Social Decision-Making</x:v>
      </x:c>
      <x:c r="F37" s="16" t="n">
        <x:v>2026</x:v>
      </x:c>
      <x:c r="G37" s="16" t="str">
        <x:v>Li et al.</x:v>
      </x:c>
      <x:c r="H37" s="16" t="str"/>
      <x:c r="I37" s="16" t="str">
        <x:v>EEG hyperscanning</x:v>
      </x:c>
      <x:c r="J37" s="16" t="str">
        <x:v>Dyads/groups depending task</x:v>
      </x:c>
      <x:c r="K37" s="16" t="str">
        <x:v>Social decision-making</x:v>
      </x:c>
      <x:c r="L37" s="16" t="str">
        <x:v>Publication only</x:v>
      </x:c>
      <x:c r="M37" s="16" t="str"/>
      <x:c r="N37" s="16" t="str">
        <x:v>https://www.nature.com/articles/s42003-026-09852-z</x:v>
      </x:c>
      <x:c r="O37" s="16" t="str">
        <x:v>Decision-Making Comparator</x:v>
      </x:c>
      <x:c r="P37" s="16" t="str">
        <x:v>Recent social decision EEG hyperscanning paper.</x:v>
      </x:c>
      <x:c r="Q37" s="16" t="str">
        <x:v>Not dataset/platform-focused; exact access to data uncertain.</x:v>
      </x:c>
      <x:c r="R37" s="16" t="str">
        <x:v>Medium</x:v>
      </x:c>
      <x:c r="S37" s="16" t="str">
        <x:v>Legacy entry — re-verification required</x:v>
      </x:c>
      <x:c r="T37" s="16" t="str">
        <x:v>Not read</x:v>
      </x:c>
      <x:c r="U37" s="16" t="str">
        <x:v>Existing ARL literature</x:v>
      </x:c>
      <x:c r="V37" s="16" t="str">
        <x:v>Pending</x:v>
      </x:c>
      <x:c r="W37" s="16" t="str"/>
      <x:c r="X37" s="16" t="str">
        <x:v>Modern theoretical reference</x:v>
      </x:c>
      <x:c r="Y37" s="16" t="str"/>
    </x:row>
    <x:row r="38">
      <x:c r="A38" s="16" t="str">
        <x:v>MDMER-0037</x:v>
      </x:c>
      <x:c r="B38" s="16" t="str">
        <x:v>Tier 3</x:v>
      </x:c>
      <x:c r="C38" s="16" t="str">
        <x:v>Decision/social neuroscience</x:v>
      </x:c>
      <x:c r="D38" s="16" t="str">
        <x:v>Dataset paper</x:v>
      </x:c>
      <x:c r="E38" s="16" t="str">
        <x:v>An EEG Dataset of Neural Signatures in a Competitive Two-Player Card Game</x:v>
      </x:c>
      <x:c r="F38" s="16" t="n">
        <x:v>2024</x:v>
      </x:c>
      <x:c r="G38" s="16" t="str">
        <x:v>Chen et al.</x:v>
      </x:c>
      <x:c r="H38" s="16" t="str"/>
      <x:c r="I38" s="16" t="str">
        <x:v>EEG; behavioral data</x:v>
      </x:c>
      <x:c r="J38" s="16" t="str">
        <x:v>Two-player</x:v>
      </x:c>
      <x:c r="K38" s="16" t="str">
        <x:v>Competitive card game / deception</x:v>
      </x:c>
      <x:c r="L38" s="16" t="str">
        <x:v>Public/Scientific Data</x:v>
      </x:c>
      <x:c r="M38" s="16" t="str">
        <x:v>https://www.nature.com/articles/s41597-024-03234-y</x:v>
      </x:c>
      <x:c r="N38" s="16" t="str">
        <x:v>https://www.nature.com/articles/s41597-024-03234-y</x:v>
      </x:c>
      <x:c r="O38" s="16" t="str">
        <x:v>Decision-Making Comparator</x:v>
      </x:c>
      <x:c r="P38" s="16" t="str">
        <x:v>Highly relevant deception/competition EEG dataset.</x:v>
      </x:c>
      <x:c r="Q38" s="16" t="str">
        <x:v>Dyadic; no ECG/GSR/EMG/eye/audio/video group capture.</x:v>
      </x:c>
      <x:c r="R38" s="16" t="str">
        <x:v>High</x:v>
      </x:c>
      <x:c r="S38" s="16" t="str">
        <x:v>Legacy entry — re-verification required</x:v>
      </x:c>
      <x:c r="T38" s="16" t="str">
        <x:v>Not read</x:v>
      </x:c>
      <x:c r="U38" s="16" t="str">
        <x:v>Existing ARL literature</x:v>
      </x:c>
      <x:c r="V38" s="16" t="str">
        <x:v>Pending</x:v>
      </x:c>
      <x:c r="W38" s="16" t="str"/>
      <x:c r="X38" s="16" t="str">
        <x:v>Strong ARL novelty comparison</x:v>
      </x:c>
      <x:c r="Y38" s="16" t="str"/>
    </x:row>
    <x:row r="39">
      <x:c r="A39" s="16" t="str">
        <x:v>MDMER-0038</x:v>
      </x:c>
      <x:c r="B39" s="16" t="str">
        <x:v>Tier 3</x:v>
      </x:c>
      <x:c r="C39" s="16" t="str">
        <x:v>Decision/social neuroscience</x:v>
      </x:c>
      <x:c r="D39" s="16" t="str">
        <x:v>Dataset paper</x:v>
      </x:c>
      <x:c r="E39" s="16" t="str">
        <x:v>IllusionGameEEG Dataset</x:v>
      </x:c>
      <x:c r="F39" s="16" t="n">
        <x:v>2023</x:v>
      </x:c>
      <x:c r="G39" s="16" t="str">
        <x:v>OpenNeuro ds004587</x:v>
      </x:c>
      <x:c r="H39" s="16" t="str"/>
      <x:c r="I39" s="16" t="str">
        <x:v>EEG; physiological; behavioral data</x:v>
      </x:c>
      <x:c r="J39" s="16" t="str">
        <x:v>Individual</x:v>
      </x:c>
      <x:c r="K39" s="16" t="str">
        <x:v>Illusion/game-like cognitive task</x:v>
      </x:c>
      <x:c r="L39" s="16" t="str">
        <x:v>Public</x:v>
      </x:c>
      <x:c r="M39" s="16" t="str">
        <x:v>https://openneuro.org/datasets/ds004587/versions/1.0.0</x:v>
      </x:c>
      <x:c r="N39" s="16" t="str">
        <x:v>https://openneuro.org/datasets/ds004587/versions/1.0.0</x:v>
      </x:c>
      <x:c r="O39" s="16" t="str">
        <x:v>Decision-Making Comparator</x:v>
      </x:c>
      <x:c r="P39" s="16" t="str">
        <x:v>EEG + physiology + behavioral data in game-like task.</x:v>
      </x:c>
      <x:c r="Q39" s="16" t="str">
        <x:v>No group interaction/social deduction.</x:v>
      </x:c>
      <x:c r="R39" s="16" t="str">
        <x:v>Medium</x:v>
      </x:c>
      <x:c r="S39" s="16" t="str">
        <x:v>Legacy entry — re-verification required</x:v>
      </x:c>
      <x:c r="T39" s="16" t="str">
        <x:v>To verify</x:v>
      </x:c>
      <x:c r="U39" s="16" t="str">
        <x:v>Existing ARL literature</x:v>
      </x:c>
      <x:c r="V39" s="16" t="str">
        <x:v>Pending</x:v>
      </x:c>
      <x:c r="W39" s="16" t="str"/>
      <x:c r="X39" s="16" t="str">
        <x:v>Potential methods comparison</x:v>
      </x:c>
      <x:c r="Y39" s="16" t="str"/>
    </x:row>
    <x:row r="40">
      <x:c r="A40" s="16" t="str">
        <x:v>MDMER-0039</x:v>
      </x:c>
      <x:c r="B40" s="16" t="str">
        <x:v>Tier 3</x:v>
      </x:c>
      <x:c r="C40" s="16" t="str">
        <x:v>Decision/social neuroscience</x:v>
      </x:c>
      <x:c r="D40" s="16" t="str">
        <x:v>Research paper</x:v>
      </x:c>
      <x:c r="E40" s="16" t="str">
        <x:v>Neural Decoding of Competitive Decision-Making in Rock–Paper–Scissors</x:v>
      </x:c>
      <x:c r="F40" s="16" t="n">
        <x:v>2025</x:v>
      </x:c>
      <x:c r="G40" s="16" t="str">
        <x:v>Moerel et al.</x:v>
      </x:c>
      <x:c r="H40" s="16" t="str"/>
      <x:c r="I40" s="16" t="str">
        <x:v>EEG hyperscanning</x:v>
      </x:c>
      <x:c r="J40" s="16" t="str">
        <x:v>Dyads</x:v>
      </x:c>
      <x:c r="K40" s="16" t="str">
        <x:v>Competitive Rock-Paper-Scissors</x:v>
      </x:c>
      <x:c r="L40" s="16" t="str">
        <x:v>Publication only</x:v>
      </x:c>
      <x:c r="M40" s="16" t="str"/>
      <x:c r="N40" s="16" t="str">
        <x:v>https://boa.unimib.it/retrieve/77d8308f-f97c-4d5d-ad41-f4b1967f573c/Moerel%20et%20al-2025-Social%20Cognitive%20and%20Affective%20Neuroscience-VoR.pdf</x:v>
      </x:c>
      <x:c r="O40" s="16" t="str">
        <x:v>Decision-Making Comparator</x:v>
      </x:c>
      <x:c r="P40" s="16" t="str">
        <x:v>Recent competitive decision EEG hyperscanning reference.</x:v>
      </x:c>
      <x:c r="Q40" s="16" t="str">
        <x:v>No full multimodal dataset; dyads only.</x:v>
      </x:c>
      <x:c r="R40" s="16" t="str">
        <x:v>Medium</x:v>
      </x:c>
      <x:c r="S40" s="16" t="str">
        <x:v>Legacy entry — re-verification required</x:v>
      </x:c>
      <x:c r="T40" s="16" t="str">
        <x:v>Not read</x:v>
      </x:c>
      <x:c r="U40" s="16" t="str">
        <x:v>Existing ARL literature</x:v>
      </x:c>
      <x:c r="V40" s="16" t="str">
        <x:v>Pending</x:v>
      </x:c>
      <x:c r="W40" s="16" t="str"/>
      <x:c r="X40" s="16" t="str">
        <x:v>Useful for classifier framing</x:v>
      </x:c>
      <x:c r="Y40" s="16" t="str"/>
    </x:row>
    <x:row r="41">
      <x:c r="A41" s="16" t="str">
        <x:v>MDMER-0040</x:v>
      </x:c>
      <x:c r="B41" s="16" t="str">
        <x:v>Tier 3</x:v>
      </x:c>
      <x:c r="C41" s="16" t="str">
        <x:v>Decision/social neuroscience</x:v>
      </x:c>
      <x:c r="D41" s="16" t="str">
        <x:v>Theory/review paper</x:v>
      </x:c>
      <x:c r="E41" s="16" t="str">
        <x:v>Dual-Process and Decision-Making Under Uncertainty Literature Anchor</x:v>
      </x:c>
      <x:c r="F41" s="16" t="n">
        <x:v>2009</x:v>
      </x:c>
      <x:c r="G41" s="16" t="str">
        <x:v>Evans / Stanovich / Kahneman line</x:v>
      </x:c>
      <x:c r="H41" s="16" t="str"/>
      <x:c r="I41" s="16" t="str">
        <x:v>Behavioral/cognitive theory</x:v>
      </x:c>
      <x:c r="J41" s="16" t="str">
        <x:v>Individual/social</x:v>
      </x:c>
      <x:c r="K41" s="16" t="str">
        <x:v>Uncertainty, reasoning, intuition/control</x:v>
      </x:c>
      <x:c r="L41" s="16" t="str">
        <x:v>Publication only</x:v>
      </x:c>
      <x:c r="M41" s="16" t="str"/>
      <x:c r="N41" s="16" t="str">
        <x:v>https://www.annualreviews.org/content/journals/10.1146/annurev-psych-122216-011832</x:v>
      </x:c>
      <x:c r="O41" s="16" t="str">
        <x:v>Decision-Making Comparator</x:v>
      </x:c>
      <x:c r="P41" s="16" t="str">
        <x:v>Needed theoretical anchor for ARL reasoning/confidence.</x:v>
      </x:c>
      <x:c r="Q41" s="16" t="str">
        <x:v>Not dataset or physiology.</x:v>
      </x:c>
      <x:c r="R41" s="16" t="str">
        <x:v>Medium</x:v>
      </x:c>
      <x:c r="S41" s="16" t="str">
        <x:v>Legacy entry — re-verification required</x:v>
      </x:c>
      <x:c r="T41" s="16" t="str">
        <x:v>To verify</x:v>
      </x:c>
      <x:c r="U41" s="16" t="str">
        <x:v>Existing ARL literature</x:v>
      </x:c>
      <x:c r="V41" s="16" t="str">
        <x:v>Pending</x:v>
      </x:c>
      <x:c r="W41" s="16" t="str"/>
      <x:c r="X41" s="16" t="str">
        <x:v>Replace with exact preferred paper later</x:v>
      </x:c>
      <x:c r="Y41" s="16" t="str"/>
    </x:row>
    <x:row r="42">
      <x:c r="A42" s="16" t="str">
        <x:v>MDMER-0041</x:v>
      </x:c>
      <x:c r="B42" s="16" t="str">
        <x:v>Tier 3</x:v>
      </x:c>
      <x:c r="C42" s="16" t="str">
        <x:v>Deception/social deduction</x:v>
      </x:c>
      <x:c r="D42" s="16" t="str">
        <x:v>Dataset paper</x:v>
      </x:c>
      <x:c r="E42" s="16" t="str">
        <x:v>Box of Lies: Multimodal Deception Detection in Dialogues</x:v>
      </x:c>
      <x:c r="F42" s="16" t="n">
        <x:v>2019</x:v>
      </x:c>
      <x:c r="G42" s="16" t="str">
        <x:v>Soldner et al.</x:v>
      </x:c>
      <x:c r="H42" s="16" t="str"/>
      <x:c r="I42" s="16" t="str">
        <x:v>Dialogue; audio; video; nonverbal/verbal features</x:v>
      </x:c>
      <x:c r="J42" s="16" t="str">
        <x:v>Dyads</x:v>
      </x:c>
      <x:c r="K42" s="16" t="str">
        <x:v>Deception dialogue game</x:v>
      </x:c>
      <x:c r="L42" s="16" t="str">
        <x:v>Data on request</x:v>
      </x:c>
      <x:c r="M42" s="16" t="str">
        <x:v>https://web.eecs.umich.edu/~mihalcea/papers/soldner.naacl19.pdf</x:v>
      </x:c>
      <x:c r="N42" s="16" t="str">
        <x:v>https://web.eecs.umich.edu/~mihalcea/papers/soldner.naacl19.pdf</x:v>
      </x:c>
      <x:c r="O42" s="16" t="str">
        <x:v>Decision-Making Comparator</x:v>
      </x:c>
      <x:c r="P42" s="16" t="str">
        <x:v>Very relevant multimodal deception-in-dialogue dataset.</x:v>
      </x:c>
      <x:c r="Q42" s="16" t="str">
        <x:v>No physiology; dyadic; smaller controlled game.</x:v>
      </x:c>
      <x:c r="R42" s="16" t="str">
        <x:v>High</x:v>
      </x:c>
      <x:c r="S42" s="16" t="str">
        <x:v>Legacy entry — re-verification required</x:v>
      </x:c>
      <x:c r="T42" s="16" t="str">
        <x:v>Not read</x:v>
      </x:c>
      <x:c r="U42" s="16" t="str">
        <x:v>Existing ARL literature</x:v>
      </x:c>
      <x:c r="V42" s="16" t="str">
        <x:v>Pending</x:v>
      </x:c>
      <x:c r="W42" s="16" t="str"/>
      <x:c r="X42" s="16" t="str">
        <x:v>Important for deception section</x:v>
      </x:c>
      <x:c r="Y42" s="16" t="str"/>
    </x:row>
    <x:row r="43">
      <x:c r="A43" s="16" t="str">
        <x:v>MDMER-0042</x:v>
      </x:c>
      <x:c r="B43" s="16" t="str">
        <x:v>Tier 3</x:v>
      </x:c>
      <x:c r="C43" s="16" t="str">
        <x:v>Deception/social deduction</x:v>
      </x:c>
      <x:c r="D43" s="16" t="str">
        <x:v>Dataset paper</x:v>
      </x:c>
      <x:c r="E43" s="16" t="str">
        <x:v>Bag-of-Lies: Multimodal Dataset for Deception Detection</x:v>
      </x:c>
      <x:c r="F43" s="16" t="n">
        <x:v>2019</x:v>
      </x:c>
      <x:c r="G43" s="16" t="str">
        <x:v>Gupta et al.</x:v>
      </x:c>
      <x:c r="H43" s="16" t="str"/>
      <x:c r="I43" s="16" t="str">
        <x:v>EEG; video; audio?; behavioral/questionnaire depending release</x:v>
      </x:c>
      <x:c r="J43" s="16" t="str">
        <x:v>Individual/dyadic</x:v>
      </x:c>
      <x:c r="K43" s="16" t="str">
        <x:v>Casual deception scenarios</x:v>
      </x:c>
      <x:c r="L43" s="16" t="str">
        <x:v>Research access</x:v>
      </x:c>
      <x:c r="M43" s="16" t="str">
        <x:v>https://paperswithcode.com/dataset/bag-of-lies</x:v>
      </x:c>
      <x:c r="N43" s="16" t="str">
        <x:v>https://ieeexplore.ieee.org/document/8901672/</x:v>
      </x:c>
      <x:c r="O43" s="16" t="str">
        <x:v>Decision-Making Comparator</x:v>
      </x:c>
      <x:c r="P43" s="16" t="str">
        <x:v>Relevant because deception plus EEG appears together.</x:v>
      </x:c>
      <x:c r="Q43" s="16" t="str">
        <x:v>Need verify modalities/access; not group social deduction.</x:v>
      </x:c>
      <x:c r="R43" s="16" t="str">
        <x:v>High</x:v>
      </x:c>
      <x:c r="S43" s="16" t="str">
        <x:v>Legacy entry — re-verification required</x:v>
      </x:c>
      <x:c r="T43" s="16" t="str">
        <x:v>To verify</x:v>
      </x:c>
      <x:c r="U43" s="16" t="str">
        <x:v>Existing ARL literature</x:v>
      </x:c>
      <x:c r="V43" s="16" t="str">
        <x:v>Pending</x:v>
      </x:c>
      <x:c r="W43" s="16" t="str"/>
      <x:c r="X43" s="16" t="str">
        <x:v>Very important if accessible</x:v>
      </x:c>
      <x:c r="Y43" s="16" t="str"/>
    </x:row>
    <x:row r="44">
      <x:c r="A44" s="16" t="str">
        <x:v>MDMER-0043</x:v>
      </x:c>
      <x:c r="B44" s="16" t="str">
        <x:v>Tier 3</x:v>
      </x:c>
      <x:c r="C44" s="16" t="str">
        <x:v>Deception/social deduction</x:v>
      </x:c>
      <x:c r="D44" s="16" t="str">
        <x:v>Dataset paper</x:v>
      </x:c>
      <x:c r="E44" s="16" t="str">
        <x:v>EEG Dataset for Lie Detection Based on EEG Signals and Wavelets</x:v>
      </x:c>
      <x:c r="F44" s="16" t="n">
        <x:v>2024</x:v>
      </x:c>
      <x:c r="G44" s="16" t="str">
        <x:v>Mendeley Data</x:v>
      </x:c>
      <x:c r="H44" s="16" t="str"/>
      <x:c r="I44" s="16" t="str">
        <x:v>EEG from Emotiv Insight</x:v>
      </x:c>
      <x:c r="J44" s="16" t="str">
        <x:v>Individual</x:v>
      </x:c>
      <x:c r="K44" s="16" t="str">
        <x:v>Lie/truth-telling bead-box task</x:v>
      </x:c>
      <x:c r="L44" s="16" t="str">
        <x:v>Public</x:v>
      </x:c>
      <x:c r="M44" s="16" t="str">
        <x:v>https://data.mendeley.com/datasets/5gzxb2bzs2</x:v>
      </x:c>
      <x:c r="N44" s="16" t="str">
        <x:v>https://data.mendeley.com/datasets/5gzxb2bzs2</x:v>
      </x:c>
      <x:c r="O44" s="16" t="str">
        <x:v>Decision-Making Comparator</x:v>
      </x:c>
      <x:c r="P44" s="16" t="str">
        <x:v>Useful because ARL uses Emotiv Insight and deception-relevant task.</x:v>
      </x:c>
      <x:c r="Q44" s="16" t="str">
        <x:v>No group interaction/multimodal physiology.</x:v>
      </x:c>
      <x:c r="R44" s="16" t="str">
        <x:v>Medium</x:v>
      </x:c>
      <x:c r="S44" s="16" t="str">
        <x:v>Legacy entry — re-verification required</x:v>
      </x:c>
      <x:c r="T44" s="16" t="str">
        <x:v>Not read</x:v>
      </x:c>
      <x:c r="U44" s="16" t="str">
        <x:v>Existing ARL literature</x:v>
      </x:c>
      <x:c r="V44" s="16" t="str">
        <x:v>Pending</x:v>
      </x:c>
      <x:c r="W44" s="16" t="str"/>
      <x:c r="X44" s="16" t="str">
        <x:v>Good methods pilot reference</x:v>
      </x:c>
      <x:c r="Y44" s="16" t="str"/>
    </x:row>
    <x:row r="45">
      <x:c r="A45" s="16" t="str">
        <x:v>MDMER-0044</x:v>
      </x:c>
      <x:c r="B45" s="16" t="str">
        <x:v>Tier 3</x:v>
      </x:c>
      <x:c r="C45" s="16" t="str">
        <x:v>Deception/social deduction</x:v>
      </x:c>
      <x:c r="D45" s="16" t="str">
        <x:v>Research paper</x:v>
      </x:c>
      <x:c r="E45" s="16" t="str">
        <x:v>Werewolf Among Us: Multimodal Resources for Social Deduction</x:v>
      </x:c>
      <x:c r="F45" s="16" t="n">
        <x:v>2023</x:v>
      </x:c>
      <x:c r="G45" s="16" t="str">
        <x:v>Lai et al.</x:v>
      </x:c>
      <x:c r="H45" s="16" t="str"/>
      <x:c r="I45" s="16" t="str">
        <x:v>Video; dialogue/text; game logs</x:v>
      </x:c>
      <x:c r="J45" s="16" t="str">
        <x:v>Groups</x:v>
      </x:c>
      <x:c r="K45" s="16" t="str">
        <x:v>One Night Ultimate Werewolf / Among Us</x:v>
      </x:c>
      <x:c r="L45" s="16" t="str">
        <x:v>Research/public depending subset</x:v>
      </x:c>
      <x:c r="M45" s="16" t="str"/>
      <x:c r="N45" s="16" t="str">
        <x:v>https://aclanthology.org/2023.findings-acl.411.pdf</x:v>
      </x:c>
      <x:c r="O45" s="16" t="str">
        <x:v>Decision-Making Comparator</x:v>
      </x:c>
      <x:c r="P45" s="16" t="str">
        <x:v>Closest social deduction/gameplay reference.</x:v>
      </x:c>
      <x:c r="Q45" s="16" t="str">
        <x:v>No physiology; sourced from videos/games not lab acquisition.</x:v>
      </x:c>
      <x:c r="R45" s="16" t="str">
        <x:v>High</x:v>
      </x:c>
      <x:c r="S45" s="16" t="str">
        <x:v>Legacy entry — re-verification required</x:v>
      </x:c>
      <x:c r="T45" s="16" t="str">
        <x:v>Not read</x:v>
      </x:c>
      <x:c r="U45" s="16" t="str">
        <x:v>Existing ARL literature</x:v>
      </x:c>
      <x:c r="V45" s="16" t="str">
        <x:v>Pending</x:v>
      </x:c>
      <x:c r="W45" s="16" t="str"/>
      <x:c r="X45" s="16" t="str">
        <x:v>Important conceptual citation</x:v>
      </x:c>
      <x:c r="Y45" s="16" t="str"/>
    </x:row>
    <x:row r="46">
      <x:c r="A46" s="16" t="str">
        <x:v>MDMER-0045</x:v>
      </x:c>
      <x:c r="B46" s="16" t="str">
        <x:v>Tier 3</x:v>
      </x:c>
      <x:c r="C46" s="16" t="str">
        <x:v>Deception/social deduction</x:v>
      </x:c>
      <x:c r="D46" s="16" t="str">
        <x:v>Research paper</x:v>
      </x:c>
      <x:c r="E46" s="16" t="str">
        <x:v>Finding Deceivers in Social Context with Large Language Models</x:v>
      </x:c>
      <x:c r="F46" s="16" t="n">
        <x:v>2024</x:v>
      </x:c>
      <x:c r="G46" s="16" t="str">
        <x:v>Yoo et al.</x:v>
      </x:c>
      <x:c r="H46" s="16" t="str"/>
      <x:c r="I46" s="16" t="str">
        <x:v>Conversation/text; game context</x:v>
      </x:c>
      <x:c r="J46" s="16" t="str">
        <x:v>Groups</x:v>
      </x:c>
      <x:c r="K46" s="16" t="str">
        <x:v>Mafia/social deduction</x:v>
      </x:c>
      <x:c r="L46" s="16" t="str">
        <x:v>Publication/data uncertain</x:v>
      </x:c>
      <x:c r="M46" s="16" t="str"/>
      <x:c r="N46" s="16" t="str">
        <x:v>https://www.nature.com/articles/s41598-024-81997-5</x:v>
      </x:c>
      <x:c r="O46" s="16" t="str">
        <x:v>Decision-Making Comparator</x:v>
      </x:c>
      <x:c r="P46" s="16" t="str">
        <x:v>Directly relevant to social-context deceiver detection.</x:v>
      </x:c>
      <x:c r="Q46" s="16" t="str">
        <x:v>No physiology/acquisition platform.</x:v>
      </x:c>
      <x:c r="R46" s="16" t="str">
        <x:v>Medium</x:v>
      </x:c>
      <x:c r="S46" s="16" t="str">
        <x:v>Legacy entry — re-verification required</x:v>
      </x:c>
      <x:c r="T46" s="16" t="str">
        <x:v>Not read</x:v>
      </x:c>
      <x:c r="U46" s="16" t="str">
        <x:v>Existing ARL literature</x:v>
      </x:c>
      <x:c r="V46" s="16" t="str">
        <x:v>Pending</x:v>
      </x:c>
      <x:c r="W46" s="16" t="str"/>
      <x:c r="X46" s="16" t="str">
        <x:v>Good AI arbitration link</x:v>
      </x:c>
      <x:c r="Y46" s="16" t="str"/>
    </x:row>
    <x:row r="47">
      <x:c r="A47" s="16" t="str">
        <x:v>MDMER-0046</x:v>
      </x:c>
      <x:c r="B47" s="16" t="str">
        <x:v>Tier 3</x:v>
      </x:c>
      <x:c r="C47" s="16" t="str">
        <x:v>Deception/social deduction</x:v>
      </x:c>
      <x:c r="D47" s="16" t="str">
        <x:v>Dataset paper</x:v>
      </x:c>
      <x:c r="E47" s="16" t="str">
        <x:v>Diplomacy / Deception in Negotiation Dataset</x:v>
      </x:c>
      <x:c r="F47" s="16" t="n">
        <x:v>2020</x:v>
      </x:c>
      <x:c r="G47" s="16" t="str">
        <x:v>Peskov et al.</x:v>
      </x:c>
      <x:c r="H47" s="16" t="str"/>
      <x:c r="I47" s="16" t="str">
        <x:v>Text dialogue; game logs</x:v>
      </x:c>
      <x:c r="J47" s="16" t="str">
        <x:v>Groups/players</x:v>
      </x:c>
      <x:c r="K47" s="16" t="str">
        <x:v>Diplomacy negotiation and deception</x:v>
      </x:c>
      <x:c r="L47" s="16" t="str">
        <x:v>Public/research</x:v>
      </x:c>
      <x:c r="M47" s="16" t="str">
        <x:v>https://sites.google.com/view/qanta/projects/diplomacy</x:v>
      </x:c>
      <x:c r="N47" s="16" t="str">
        <x:v>https://aclanthology.org/2020.acl-main.353/</x:v>
      </x:c>
      <x:c r="O47" s="16" t="str">
        <x:v>Decision-Making Comparator</x:v>
      </x:c>
      <x:c r="P47" s="16" t="str">
        <x:v>Useful for deception and strategic communication modeling.</x:v>
      </x:c>
      <x:c r="Q47" s="16" t="str">
        <x:v>Text-only; no sensor data.</x:v>
      </x:c>
      <x:c r="R47" s="16" t="str">
        <x:v>Medium</x:v>
      </x:c>
      <x:c r="S47" s="16" t="str">
        <x:v>Legacy entry — re-verification required</x:v>
      </x:c>
      <x:c r="T47" s="16" t="str">
        <x:v>To verify</x:v>
      </x:c>
      <x:c r="U47" s="16" t="str">
        <x:v>Existing ARL literature</x:v>
      </x:c>
      <x:c r="V47" s="16" t="str">
        <x:v>Pending</x:v>
      </x:c>
      <x:c r="W47" s="16" t="str"/>
      <x:c r="X47" s="16" t="str">
        <x:v>Useful for language features</x:v>
      </x:c>
      <x:c r="Y47" s="16" t="str"/>
    </x:row>
    <x:row r="48">
      <x:c r="A48" s="16" t="str">
        <x:v>MDMER-0047</x:v>
      </x:c>
      <x:c r="B48" s="16" t="str">
        <x:v>Tier 3</x:v>
      </x:c>
      <x:c r="C48" s="16" t="str">
        <x:v>Deception/social deduction</x:v>
      </x:c>
      <x:c r="D48" s="16" t="str">
        <x:v>Dataset paper</x:v>
      </x:c>
      <x:c r="E48" s="16" t="str">
        <x:v>Bayesian Social Deduction with Graph-Informed Language Models Dataset</x:v>
      </x:c>
      <x:c r="F48" s="16" t="n">
        <x:v>2025</x:v>
      </x:c>
      <x:c r="G48" s="16" t="str">
        <x:v>Rahimirad et al.</x:v>
      </x:c>
      <x:c r="H48" s="16" t="str"/>
      <x:c r="I48" s="16" t="str">
        <x:v>Game logs; language; agents/humans</x:v>
      </x:c>
      <x:c r="J48" s="16" t="str">
        <x:v>Groups</x:v>
      </x:c>
      <x:c r="K48" s="16" t="str">
        <x:v>Avalon social deduction</x:v>
      </x:c>
      <x:c r="L48" s="16" t="str">
        <x:v>Public</x:v>
      </x:c>
      <x:c r="M48" s="16" t="str">
        <x:v>https://huggingface.co/datasets/shahabrahimirad/bayesian-social-deduction</x:v>
      </x:c>
      <x:c r="N48" s="16" t="str">
        <x:v>https://huggingface.co/datasets/shahabrahimirad/bayesian-social-deduction</x:v>
      </x:c>
      <x:c r="O48" s="16" t="str">
        <x:v>Decision-Making Comparator</x:v>
      </x:c>
      <x:c r="P48" s="16" t="str">
        <x:v>Recent social deduction dataset with strategic communication.</x:v>
      </x:c>
      <x:c r="Q48" s="16" t="str">
        <x:v>No physiology; AI/game-log focus.</x:v>
      </x:c>
      <x:c r="R48" s="16" t="str">
        <x:v>Low</x:v>
      </x:c>
      <x:c r="S48" s="16" t="str">
        <x:v>Legacy entry — re-verification required</x:v>
      </x:c>
      <x:c r="T48" s="16" t="str">
        <x:v>To verify</x:v>
      </x:c>
      <x:c r="U48" s="16" t="str">
        <x:v>Existing ARL literature</x:v>
      </x:c>
      <x:c r="V48" s="16" t="str">
        <x:v>Pending</x:v>
      </x:c>
      <x:c r="W48" s="16" t="str"/>
      <x:c r="X48" s="16" t="str">
        <x:v>Useful only for AI/deception framing</x:v>
      </x:c>
      <x:c r="Y48" s="16" t="str"/>
    </x:row>
    <x:row r="49">
      <x:c r="A49" s="16" t="str">
        <x:v>MDMER-0048</x:v>
      </x:c>
      <x:c r="B49" s="16" t="str">
        <x:v>Tier 3</x:v>
      </x:c>
      <x:c r="C49" s="16" t="str">
        <x:v>Deception/social deduction</x:v>
      </x:c>
      <x:c r="D49" s="16" t="str">
        <x:v>Research paper</x:v>
      </x:c>
      <x:c r="E49" s="16" t="str">
        <x:v>Evaluating LLMs in Social Deduction Games with Human Multimodal Werewolf Data</x:v>
      </x:c>
      <x:c r="F49" s="16" t="n">
        <x:v>2026</x:v>
      </x:c>
      <x:c r="G49" s="16" t="str">
        <x:v>Authors TBD</x:v>
      </x:c>
      <x:c r="H49" s="16" t="str"/>
      <x:c r="I49" s="16" t="str">
        <x:v>Video; utterances; rule variants</x:v>
      </x:c>
      <x:c r="J49" s="16" t="str">
        <x:v>Groups</x:v>
      </x:c>
      <x:c r="K49" s="16" t="str">
        <x:v>Werewolf/social deduction</x:v>
      </x:c>
      <x:c r="L49" s="16" t="str">
        <x:v>Publication/data uncertain</x:v>
      </x:c>
      <x:c r="M49" s="16" t="str"/>
      <x:c r="N49" s="16" t="str">
        <x:v>https://arxiv.org/html/2510.11389v1</x:v>
      </x:c>
      <x:c r="O49" s="16" t="str">
        <x:v>Decision-Making Comparator</x:v>
      </x:c>
      <x:c r="P49" s="16" t="str">
        <x:v>Very relevant emerging multimodal social-deduction direction.</x:v>
      </x:c>
      <x:c r="Q49" s="16" t="str">
        <x:v>Likely no physiology; needs verification due preprint status.</x:v>
      </x:c>
      <x:c r="R49" s="16" t="str">
        <x:v>Medium</x:v>
      </x:c>
      <x:c r="S49" s="16" t="str">
        <x:v>Legacy entry — re-verification required</x:v>
      </x:c>
      <x:c r="T49" s="16" t="str">
        <x:v>To verify</x:v>
      </x:c>
      <x:c r="U49" s="16" t="str">
        <x:v>Existing ARL literature</x:v>
      </x:c>
      <x:c r="V49" s="16" t="str">
        <x:v>Pending</x:v>
      </x:c>
      <x:c r="W49" s="16" t="str"/>
      <x:c r="X49" s="16" t="str">
        <x:v>Recent field direction</x:v>
      </x:c>
      <x:c r="Y49" s="16" t="str"/>
    </x:row>
    <x:row r="50">
      <x:c r="A50" s="16" t="str">
        <x:v>MDMER-0049</x:v>
      </x:c>
      <x:c r="B50" s="16" t="str">
        <x:v>Tier 4</x:v>
      </x:c>
      <x:c r="C50" s="16" t="str">
        <x:v>Acquisition/synchronization</x:v>
      </x:c>
      <x:c r="D50" s="16" t="str">
        <x:v>Software/tool paper</x:v>
      </x:c>
      <x:c r="E50" s="16" t="str">
        <x:v>EYE-EEG: Synchronization and Analysis of Eye Tracking and EEG Data</x:v>
      </x:c>
      <x:c r="F50" s="16" t="n">
        <x:v>2014</x:v>
      </x:c>
      <x:c r="G50" s="16" t="str">
        <x:v>Dimigen et al.</x:v>
      </x:c>
      <x:c r="H50" s="16" t="str"/>
      <x:c r="I50" s="16" t="str">
        <x:v>EEG; eye tracking synchronization/software</x:v>
      </x:c>
      <x:c r="J50" s="16" t="str">
        <x:v>Individual</x:v>
      </x:c>
      <x:c r="K50" s="16" t="str">
        <x:v>EEG-eye co-registration</x:v>
      </x:c>
      <x:c r="L50" s="16" t="str">
        <x:v>Open software/resources</x:v>
      </x:c>
      <x:c r="M50" s="16" t="str">
        <x:v>https://www.eyetracking-eeg.org/</x:v>
      </x:c>
      <x:c r="N50" s="16" t="str">
        <x:v>https://link.springer.com/article/10.3758/s13428-013-0429-3</x:v>
      </x:c>
      <x:c r="O50" s="16" t="str">
        <x:v>Background Evidence</x:v>
      </x:c>
      <x:c r="P50" s="16" t="str">
        <x:v>Important for ARL EEG + EyeLogic preprocessing strategy.</x:v>
      </x:c>
      <x:c r="Q50" s="16" t="str">
        <x:v>Not group/multimodal physiology beyond EEG-eye.</x:v>
      </x:c>
      <x:c r="R50" s="16" t="str">
        <x:v>High</x:v>
      </x:c>
      <x:c r="S50" s="16" t="str">
        <x:v>Legacy entry — re-verification required</x:v>
      </x:c>
      <x:c r="T50" s="16" t="str">
        <x:v>Not read</x:v>
      </x:c>
      <x:c r="U50" s="16" t="str">
        <x:v>Existing ARL literature</x:v>
      </x:c>
      <x:c r="V50" s="16" t="str">
        <x:v>Pending</x:v>
      </x:c>
      <x:c r="W50" s="16" t="str"/>
      <x:c r="X50" s="16" t="str">
        <x:v>Useful for preprocessing pipeline</x:v>
      </x:c>
      <x:c r="Y50" s="16" t="str"/>
    </x:row>
    <x:row r="51">
      <x:c r="A51" s="16" t="str">
        <x:v>MDMER-0050</x:v>
      </x:c>
      <x:c r="B51" s="16" t="str">
        <x:v>Tier 4</x:v>
      </x:c>
      <x:c r="C51" s="16" t="str">
        <x:v>Acquisition/synchronization</x:v>
      </x:c>
      <x:c r="D51" s="16" t="str">
        <x:v>Standard/spec paper</x:v>
      </x:c>
      <x:c r="E51" s="16" t="str">
        <x:v>Brain Imaging Data Structure (BIDS) and Extensions for EEG/iEEG/physiology</x:v>
      </x:c>
      <x:c r="F51" s="16" t="n">
        <x:v>2016</x:v>
      </x:c>
      <x:c r="G51" s="16" t="str">
        <x:v>Gorgolewski et al. / BIDS community</x:v>
      </x:c>
      <x:c r="H51" s="16" t="str"/>
      <x:c r="I51" s="16" t="str">
        <x:v>Data standard / metadata</x:v>
      </x:c>
      <x:c r="J51" s="16" t="str">
        <x:v>Any</x:v>
      </x:c>
      <x:c r="K51" s="16" t="str">
        <x:v>Neuroimaging data organization</x:v>
      </x:c>
      <x:c r="L51" s="16" t="str">
        <x:v>Open</x:v>
      </x:c>
      <x:c r="M51" s="16" t="str">
        <x:v>https://bids.neuroimaging.io/</x:v>
      </x:c>
      <x:c r="N51" s="16" t="str">
        <x:v>https://www.nature.com/articles/sdata201644</x:v>
      </x:c>
      <x:c r="O51" s="16" t="str">
        <x:v>Background Evidence</x:v>
      </x:c>
      <x:c r="P51" s="16" t="str">
        <x:v>Important for ARL dataset organization and metadata standardization.</x:v>
      </x:c>
      <x:c r="Q51" s="16" t="str">
        <x:v>Not a dataset; ARL may need BIDS-inspired not fully BIDS.</x:v>
      </x:c>
      <x:c r="R51" s="16" t="str">
        <x:v>High</x:v>
      </x:c>
      <x:c r="S51" s="16" t="str">
        <x:v>Legacy entry — re-verification required</x:v>
      </x:c>
      <x:c r="T51" s="16" t="str">
        <x:v>Not read</x:v>
      </x:c>
      <x:c r="U51" s="16" t="str">
        <x:v>Existing ARL literature</x:v>
      </x:c>
      <x:c r="V51" s="16" t="str">
        <x:v>Pending</x:v>
      </x:c>
      <x:c r="W51" s="16" t="str"/>
      <x:c r="X51" s="16" t="str">
        <x:v>Must consider for Scientific Data release</x:v>
      </x:c>
      <x:c r="Y51" s="16" t="str"/>
    </x:row>
    <x:row r="52">
      <x:c r="A52" s="16" t="str">
        <x:v>MDMER-0051</x:v>
      </x:c>
      <x:c r="B52" s="16" t="str">
        <x:v>Tier 1</x:v>
      </x:c>
      <x:c r="C52" s="16" t="str">
        <x:v>Core multimodal datasets</x:v>
      </x:c>
      <x:c r="D52" s="16" t="str">
        <x:v>Dataset paper</x:v>
      </x:c>
      <x:c r="E52" s="16" t="str">
        <x:v>CogniModal-D: Multimodal Machine Learning for Deception Detection Using Behavioral and Physiological Data</x:v>
      </x:c>
      <x:c r="F52" s="16" t="n">
        <x:v>2025</x:v>
      </x:c>
      <x:c r="G52" s="16" t="str">
        <x:v>Joshi et al.</x:v>
      </x:c>
      <x:c r="H52" s="16" t="str"/>
      <x:c r="I52" s="16" t="str">
        <x:v>EEG; ECG; EOG; gaze; GSR; audio; video</x:v>
      </x:c>
      <x:c r="J52" s="16" t="str">
        <x:v>Individual</x:v>
      </x:c>
      <x:c r="K52" s="16" t="str">
        <x:v>Social-relationship and mock-crime deception tasks</x:v>
      </x:c>
      <x:c r="L52" s="16" t="str">
        <x:v>Public/academic</x:v>
      </x:c>
      <x:c r="M52" s="16" t="str"/>
      <x:c r="N52" s="16" t="str">
        <x:v>https://www.nature.com/articles/s41598-025-92399-6</x:v>
      </x:c>
      <x:c r="O52" s="16" t="str">
        <x:v>Direct comparator</x:v>
      </x:c>
      <x:c r="P52" s="16" t="str">
        <x:v>Seven modalities plus deception; one of the closest sensing comparators to ARL.</x:v>
      </x:c>
      <x:c r="Q52" s="16" t="str">
        <x:v>Requires structured comparison against ARL sensing, interaction, decision, and synchronization features.</x:v>
      </x:c>
      <x:c r="R52" s="16" t="str">
        <x:v>Must read</x:v>
      </x:c>
      <x:c r="S52" s="16" t="str">
        <x:v>Source checked</x:v>
      </x:c>
      <x:c r="T52" s="16" t="str">
        <x:v>Not read</x:v>
      </x:c>
      <x:c r="U52" s="16" t="str">
        <x:v>Web search</x:v>
      </x:c>
      <x:c r="V52" s="16" t="str">
        <x:v>Pending</x:v>
      </x:c>
      <x:c r="W52" s="16" t="str"/>
      <x:c r="X52" s="16" t="str">
        <x:v>Added during expansion from 50 to 150 records.</x:v>
      </x:c>
      <x:c r="Y52" s="16" t="str">
        <x:v>2026-08-25</x:v>
      </x:c>
    </x:row>
    <x:row r="53">
      <x:c r="A53" s="16" t="str">
        <x:v>MDMER-0052</x:v>
      </x:c>
      <x:c r="B53" s="16" t="str">
        <x:v>Tier 1</x:v>
      </x:c>
      <x:c r="C53" s="16" t="str">
        <x:v>Core multimodal datasets</x:v>
      </x:c>
      <x:c r="D53" s="16" t="str">
        <x:v>Dataset paper</x:v>
      </x:c>
      <x:c r="E53" s="16" t="str">
        <x:v>CoSuBio: Confidence and Success Dataset Based on Multimodal Biosignals</x:v>
      </x:c>
      <x:c r="F53" s="16" t="n">
        <x:v>2026</x:v>
      </x:c>
      <x:c r="G53" s="16" t="str">
        <x:v>Deniz &amp; Akbulut</x:v>
      </x:c>
      <x:c r="H53" s="16" t="str"/>
      <x:c r="I53" s="16" t="str">
        <x:v>EEG; EDA; BVP; temperature; accelerometer; limited facial video</x:v>
      </x:c>
      <x:c r="J53" s="16" t="str">
        <x:v>Individual</x:v>
      </x:c>
      <x:c r="K53" s="16" t="str">
        <x:v>Confidence manipulation; decision and cognitive tasks</x:v>
      </x:c>
      <x:c r="L53" s="16" t="str">
        <x:v>Public</x:v>
      </x:c>
      <x:c r="M53" s="16" t="str"/>
      <x:c r="N53" s="16" t="str">
        <x:v>https://doi.org/10.1016/j.dib.2026.112579</x:v>
      </x:c>
      <x:c r="O53" s="16" t="str">
        <x:v>Decision-making comparator</x:v>
      </x:c>
      <x:c r="P53" s="16" t="str">
        <x:v>Directly relevant to confidence measurement and decision behavior.</x:v>
      </x:c>
      <x:c r="Q53" s="16" t="str">
        <x:v>Requires structured comparison against ARL sensing, interaction, decision, and synchronization features.</x:v>
      </x:c>
      <x:c r="R53" s="16" t="str">
        <x:v>Must read</x:v>
      </x:c>
      <x:c r="S53" s="16" t="str">
        <x:v>Source checked</x:v>
      </x:c>
      <x:c r="T53" s="16" t="str">
        <x:v>Not read</x:v>
      </x:c>
      <x:c r="U53" s="16" t="str">
        <x:v>Web search</x:v>
      </x:c>
      <x:c r="V53" s="16" t="str">
        <x:v>Pending</x:v>
      </x:c>
      <x:c r="W53" s="16" t="str"/>
      <x:c r="X53" s="16" t="str">
        <x:v>Added during expansion from 50 to 150 records.</x:v>
      </x:c>
      <x:c r="Y53" s="16" t="str">
        <x:v>2026-08-25</x:v>
      </x:c>
    </x:row>
    <x:row r="54">
      <x:c r="A54" s="16" t="str">
        <x:v>MDMER-0053</x:v>
      </x:c>
      <x:c r="B54" s="16" t="str">
        <x:v>Tier 4</x:v>
      </x:c>
      <x:c r="C54" s="16" t="str">
        <x:v>Core multimodal datasets</x:v>
      </x:c>
      <x:c r="D54" s="16" t="str">
        <x:v>Dataset paper</x:v>
      </x:c>
      <x:c r="E54" s="16" t="str">
        <x:v>The Brain, Body, and Behavior Dataset (BBBD): Multimodal Recordings during Educational Videos</x:v>
      </x:c>
      <x:c r="F54" s="16" t="n">
        <x:v>2026</x:v>
      </x:c>
      <x:c r="G54" s="16" t="str">
        <x:v>Madsen et al.</x:v>
      </x:c>
      <x:c r="H54" s="16" t="str"/>
      <x:c r="I54" s="16" t="str">
        <x:v>EEG; EOG; ECG; respiration; pupil; gaze; head motion</x:v>
      </x:c>
      <x:c r="J54" s="16" t="str">
        <x:v>Individual</x:v>
      </x:c>
      <x:c r="K54" s="16" t="str">
        <x:v>Educational video viewing</x:v>
      </x:c>
      <x:c r="L54" s="16" t="str">
        <x:v>Public</x:v>
      </x:c>
      <x:c r="M54" s="16" t="str"/>
      <x:c r="N54" s="16" t="str">
        <x:v>https://www.nature.com/articles/s41597-026-07215-1</x:v>
      </x:c>
      <x:c r="O54" s="16" t="str">
        <x:v>Modality comparator</x:v>
      </x:c>
      <x:c r="P54" s="16" t="str">
        <x:v>Excellent multimodal synchronization and BIDS reference.</x:v>
      </x:c>
      <x:c r="Q54" s="16" t="str">
        <x:v>Requires structured comparison against ARL sensing, interaction, decision, and synchronization features.</x:v>
      </x:c>
      <x:c r="R54" s="16" t="str">
        <x:v>High</x:v>
      </x:c>
      <x:c r="S54" s="16" t="str">
        <x:v>Source checked</x:v>
      </x:c>
      <x:c r="T54" s="16" t="str">
        <x:v>Not read</x:v>
      </x:c>
      <x:c r="U54" s="16" t="str">
        <x:v>Web search</x:v>
      </x:c>
      <x:c r="V54" s="16" t="str">
        <x:v>Pending</x:v>
      </x:c>
      <x:c r="W54" s="16" t="str"/>
      <x:c r="X54" s="16" t="str">
        <x:v>Added during expansion from 50 to 150 records.</x:v>
      </x:c>
      <x:c r="Y54" s="16" t="str">
        <x:v>2026-08-25</x:v>
      </x:c>
    </x:row>
    <x:row r="55">
      <x:c r="A55" s="16" t="str">
        <x:v>MDMER-0054</x:v>
      </x:c>
      <x:c r="B55" s="16" t="str">
        <x:v>Tier 1</x:v>
      </x:c>
      <x:c r="C55" s="16" t="str">
        <x:v>Core multimodal datasets</x:v>
      </x:c>
      <x:c r="D55" s="16" t="str">
        <x:v>Dataset paper</x:v>
      </x:c>
      <x:c r="E55" s="16" t="str">
        <x:v>A Multimodal Dataset for Neurophysiological and AI Applications</x:v>
      </x:c>
      <x:c r="F55" s="16" t="n">
        <x:v>2026</x:v>
      </x:c>
      <x:c r="G55" s="16" t="str">
        <x:v>Multiple authors</x:v>
      </x:c>
      <x:c r="H55" s="16" t="str"/>
      <x:c r="I55" s="16" t="str">
        <x:v>EEG; eye tracking; EDA; heart rate; game event logs</x:v>
      </x:c>
      <x:c r="J55" s="16" t="str">
        <x:v>Individual</x:v>
      </x:c>
      <x:c r="K55" s="16" t="str">
        <x:v>Interactive game tasks</x:v>
      </x:c>
      <x:c r="L55" s="16" t="str">
        <x:v>Public</x:v>
      </x:c>
      <x:c r="M55" s="16" t="str">
        <x:v>https://doi.org/10.6084/m9.figshare.28676042</x:v>
      </x:c>
      <x:c r="N55" s="16" t="str">
        <x:v>https://www.nature.com/articles/s41597-026-06758-7</x:v>
      </x:c>
      <x:c r="O55" s="16" t="str">
        <x:v>Direct comparator</x:v>
      </x:c>
      <x:c r="P55" s="16" t="str">
        <x:v>Combines neurophysiology, gaze, physiology, and game event logs.</x:v>
      </x:c>
      <x:c r="Q55" s="16" t="str">
        <x:v>Requires structured comparison against ARL sensing, interaction, decision, and synchronization features.</x:v>
      </x:c>
      <x:c r="R55" s="16" t="str">
        <x:v>Must read</x:v>
      </x:c>
      <x:c r="S55" s="16" t="str">
        <x:v>Source checked</x:v>
      </x:c>
      <x:c r="T55" s="16" t="str">
        <x:v>Not read</x:v>
      </x:c>
      <x:c r="U55" s="16" t="str">
        <x:v>Web search</x:v>
      </x:c>
      <x:c r="V55" s="16" t="str">
        <x:v>Pending</x:v>
      </x:c>
      <x:c r="W55" s="16" t="str"/>
      <x:c r="X55" s="16" t="str">
        <x:v>Added during expansion from 50 to 150 records.</x:v>
      </x:c>
      <x:c r="Y55" s="16" t="str">
        <x:v>2026-08-25</x:v>
      </x:c>
    </x:row>
    <x:row r="56">
      <x:c r="A56" s="16" t="str">
        <x:v>MDMER-0055</x:v>
      </x:c>
      <x:c r="B56" s="16" t="str">
        <x:v>Tier 4</x:v>
      </x:c>
      <x:c r="C56" s="16" t="str">
        <x:v>Core multimodal datasets</x:v>
      </x:c>
      <x:c r="D56" s="16" t="str">
        <x:v>Dataset paper</x:v>
      </x:c>
      <x:c r="E56" s="16" t="str">
        <x:v>SENSE-42: A Multimodal Human-Computer Interaction Dataset for Neurocognitive User State Evaluation</x:v>
      </x:c>
      <x:c r="F56" s="16" t="n">
        <x:v>2026</x:v>
      </x:c>
      <x:c r="G56" s="16" t="str">
        <x:v>Zhang et al.</x:v>
      </x:c>
      <x:c r="H56" s="16" t="str"/>
      <x:c r="I56" s="16" t="str">
        <x:v>EEG; ECG; respiration; keyboard; mouse; webcam; self-report</x:v>
      </x:c>
      <x:c r="J56" s="16" t="str">
        <x:v>Individual</x:v>
      </x:c>
      <x:c r="K56" s="16" t="str">
        <x:v>Desktop tasks and alertness probes</x:v>
      </x:c>
      <x:c r="L56" s="16" t="str">
        <x:v>Public</x:v>
      </x:c>
      <x:c r="M56" s="16" t="str"/>
      <x:c r="N56" s="16" t="str">
        <x:v>https://www.nature.com/articles/s41597-026-07726-x</x:v>
      </x:c>
      <x:c r="O56" s="16" t="str">
        <x:v>Modality comparator</x:v>
      </x:c>
      <x:c r="P56" s="16" t="str">
        <x:v>Useful for synchronized behavior + physiology architecture.</x:v>
      </x:c>
      <x:c r="Q56" s="16" t="str">
        <x:v>Requires structured comparison against ARL sensing, interaction, decision, and synchronization features.</x:v>
      </x:c>
      <x:c r="R56" s="16" t="str">
        <x:v>High</x:v>
      </x:c>
      <x:c r="S56" s="16" t="str">
        <x:v>Source checked</x:v>
      </x:c>
      <x:c r="T56" s="16" t="str">
        <x:v>Not read</x:v>
      </x:c>
      <x:c r="U56" s="16" t="str">
        <x:v>Web search</x:v>
      </x:c>
      <x:c r="V56" s="16" t="str">
        <x:v>Pending</x:v>
      </x:c>
      <x:c r="W56" s="16" t="str"/>
      <x:c r="X56" s="16" t="str">
        <x:v>Added during expansion from 50 to 150 records.</x:v>
      </x:c>
      <x:c r="Y56" s="16" t="str">
        <x:v>2026-08-25</x:v>
      </x:c>
    </x:row>
    <x:row r="57">
      <x:c r="A57" s="16" t="str">
        <x:v>MDMER-0056</x:v>
      </x:c>
      <x:c r="B57" s="16" t="str">
        <x:v>Tier 4</x:v>
      </x:c>
      <x:c r="C57" s="16" t="str">
        <x:v>Core multimodal datasets</x:v>
      </x:c>
      <x:c r="D57" s="16" t="str">
        <x:v>Dataset paper</x:v>
      </x:c>
      <x:c r="E57" s="16" t="str">
        <x:v>EAV: EEG-Audio-Video Dataset for Emotion Recognition in Conversational Contexts</x:v>
      </x:c>
      <x:c r="F57" s="16" t="n">
        <x:v>2024</x:v>
      </x:c>
      <x:c r="G57" s="16" t="str">
        <x:v>Lee et al.</x:v>
      </x:c>
      <x:c r="H57" s="16" t="str"/>
      <x:c r="I57" s="16" t="str">
        <x:v>EEG; audio; video</x:v>
      </x:c>
      <x:c r="J57" s="16" t="str">
        <x:v>Individual/conversational system</x:v>
      </x:c>
      <x:c r="K57" s="16" t="str">
        <x:v>Emotion expression in conversational context</x:v>
      </x:c>
      <x:c r="L57" s="16" t="str">
        <x:v>Public</x:v>
      </x:c>
      <x:c r="M57" s="16" t="str"/>
      <x:c r="N57" s="16" t="str">
        <x:v>https://www.nature.com/articles/s41597-024-03838-4</x:v>
      </x:c>
      <x:c r="O57" s="16" t="str">
        <x:v>Modality comparator</x:v>
      </x:c>
      <x:c r="P57" s="16" t="str">
        <x:v>EEG plus audio/video in conversational setting.</x:v>
      </x:c>
      <x:c r="Q57" s="16" t="str">
        <x:v>Requires structured comparison against ARL sensing, interaction, decision, and synchronization features.</x:v>
      </x:c>
      <x:c r="R57" s="16" t="str">
        <x:v>High</x:v>
      </x:c>
      <x:c r="S57" s="16" t="str">
        <x:v>Source checked</x:v>
      </x:c>
      <x:c r="T57" s="16" t="str">
        <x:v>Not read</x:v>
      </x:c>
      <x:c r="U57" s="16" t="str">
        <x:v>Web search</x:v>
      </x:c>
      <x:c r="V57" s="16" t="str">
        <x:v>Pending</x:v>
      </x:c>
      <x:c r="W57" s="16" t="str"/>
      <x:c r="X57" s="16" t="str">
        <x:v>Added during expansion from 50 to 150 records.</x:v>
      </x:c>
      <x:c r="Y57" s="16" t="str">
        <x:v>2026-08-25</x:v>
      </x:c>
    </x:row>
    <x:row r="58">
      <x:c r="A58" s="16" t="str">
        <x:v>MDMER-0057</x:v>
      </x:c>
      <x:c r="B58" s="16" t="str">
        <x:v>Tier 4</x:v>
      </x:c>
      <x:c r="C58" s="16" t="str">
        <x:v>Core multimodal datasets</x:v>
      </x:c>
      <x:c r="D58" s="16" t="str">
        <x:v>Dataset paper</x:v>
      </x:c>
      <x:c r="E58" s="16" t="str">
        <x:v>A Multimodal Dataset for Mixed Emotion Recognition</x:v>
      </x:c>
      <x:c r="F58" s="16" t="n">
        <x:v>2024</x:v>
      </x:c>
      <x:c r="G58" s="16" t="str">
        <x:v>Multiple authors</x:v>
      </x:c>
      <x:c r="H58" s="16" t="str"/>
      <x:c r="I58" s="16" t="str">
        <x:v>EEG; GSR; PPG; face video</x:v>
      </x:c>
      <x:c r="J58" s="16" t="str">
        <x:v>Individual</x:v>
      </x:c>
      <x:c r="K58" s="16" t="str">
        <x:v>Mixed-emotion video stimuli</x:v>
      </x:c>
      <x:c r="L58" s="16" t="str">
        <x:v>Request/public</x:v>
      </x:c>
      <x:c r="M58" s="16" t="str">
        <x:v>https://doi.org/10.5281/zenodo.11194571</x:v>
      </x:c>
      <x:c r="N58" s="16" t="str">
        <x:v>https://www.nature.com/articles/s41597-024-03676-4</x:v>
      </x:c>
      <x:c r="O58" s="16" t="str">
        <x:v>Modality comparator</x:v>
      </x:c>
      <x:c r="P58" s="16" t="str">
        <x:v>Time-aligned EEG/peripheral physiology/video.</x:v>
      </x:c>
      <x:c r="Q58" s="16" t="str">
        <x:v>Requires structured comparison against ARL sensing, interaction, decision, and synchronization features.</x:v>
      </x:c>
      <x:c r="R58" s="16" t="str">
        <x:v>Medium</x:v>
      </x:c>
      <x:c r="S58" s="16" t="str">
        <x:v>Source checked</x:v>
      </x:c>
      <x:c r="T58" s="16" t="str">
        <x:v>Not read</x:v>
      </x:c>
      <x:c r="U58" s="16" t="str">
        <x:v>Web search</x:v>
      </x:c>
      <x:c r="V58" s="16" t="str">
        <x:v>Pending</x:v>
      </x:c>
      <x:c r="W58" s="16" t="str"/>
      <x:c r="X58" s="16" t="str">
        <x:v>Added during expansion from 50 to 150 records.</x:v>
      </x:c>
      <x:c r="Y58" s="16" t="str">
        <x:v>2026-08-25</x:v>
      </x:c>
    </x:row>
    <x:row r="59">
      <x:c r="A59" s="16" t="str">
        <x:v>MDMER-0058</x:v>
      </x:c>
      <x:c r="B59" s="16" t="str">
        <x:v>Tier 2</x:v>
      </x:c>
      <x:c r="C59" s="16" t="str">
        <x:v>Core multimodal datasets</x:v>
      </x:c>
      <x:c r="D59" s="16" t="str">
        <x:v>Dataset paper</x:v>
      </x:c>
      <x:c r="E59" s="16" t="str">
        <x:v>A Dataset on the Experimental Study of Online and Offline Communication with Digital and Biomarkers</x:v>
      </x:c>
      <x:c r="F59" s="16" t="n">
        <x:v>2026</x:v>
      </x:c>
      <x:c r="G59" s="16" t="str">
        <x:v>Tsigeman et al.</x:v>
      </x:c>
      <x:c r="H59" s="16" t="str"/>
      <x:c r="I59" s="16" t="str">
        <x:v>Audio; video; salivary oxytocin; behavioral; self-report</x:v>
      </x:c>
      <x:c r="J59" s="16" t="str">
        <x:v>Dyads</x:v>
      </x:c>
      <x:c r="K59" s="16" t="str">
        <x:v>Face-to-face vs videoconference collaboration</x:v>
      </x:c>
      <x:c r="L59" s="16" t="str">
        <x:v>Public</x:v>
      </x:c>
      <x:c r="M59" s="16" t="str"/>
      <x:c r="N59" s="16" t="str">
        <x:v>https://www.nature.com/articles/s41597-026-07382-1</x:v>
      </x:c>
      <x:c r="O59" s="16" t="str">
        <x:v>Social/group comparator</x:v>
      </x:c>
      <x:c r="P59" s="16" t="str">
        <x:v>Naturalistic dyadic collaboration with biological and behavioral measures.</x:v>
      </x:c>
      <x:c r="Q59" s="16" t="str">
        <x:v>Requires structured comparison against ARL sensing, interaction, decision, and synchronization features.</x:v>
      </x:c>
      <x:c r="R59" s="16" t="str">
        <x:v>High</x:v>
      </x:c>
      <x:c r="S59" s="16" t="str">
        <x:v>Source checked</x:v>
      </x:c>
      <x:c r="T59" s="16" t="str">
        <x:v>Not read</x:v>
      </x:c>
      <x:c r="U59" s="16" t="str">
        <x:v>Web search</x:v>
      </x:c>
      <x:c r="V59" s="16" t="str">
        <x:v>Pending</x:v>
      </x:c>
      <x:c r="W59" s="16" t="str"/>
      <x:c r="X59" s="16" t="str">
        <x:v>Added during expansion from 50 to 150 records.</x:v>
      </x:c>
      <x:c r="Y59" s="16" t="str">
        <x:v>2026-08-25</x:v>
      </x:c>
    </x:row>
    <x:row r="60">
      <x:c r="A60" s="16" t="str">
        <x:v>MDMER-0059</x:v>
      </x:c>
      <x:c r="B60" s="16" t="str">
        <x:v>Tier 4</x:v>
      </x:c>
      <x:c r="C60" s="16" t="str">
        <x:v>Core multimodal datasets</x:v>
      </x:c>
      <x:c r="D60" s="16" t="str">
        <x:v>Dataset paper</x:v>
      </x:c>
      <x:c r="E60" s="16" t="str">
        <x:v>A Multimodal Physiological Dataset for Driving Behaviour Analysis</x:v>
      </x:c>
      <x:c r="F60" s="16" t="n">
        <x:v>2024</x:v>
      </x:c>
      <x:c r="G60" s="16" t="str">
        <x:v>Tao et al.</x:v>
      </x:c>
      <x:c r="H60" s="16" t="str"/>
      <x:c r="I60" s="16" t="str">
        <x:v>Physiological signals; behavioral driving data</x:v>
      </x:c>
      <x:c r="J60" s="16" t="str">
        <x:v>Individual</x:v>
      </x:c>
      <x:c r="K60" s="16" t="str">
        <x:v>Driving behavior</x:v>
      </x:c>
      <x:c r="L60" s="16" t="str">
        <x:v>Public</x:v>
      </x:c>
      <x:c r="M60" s="16" t="str"/>
      <x:c r="N60" s="16" t="str">
        <x:v>https://www.nature.com/articles/s41597-024-03222-2</x:v>
      </x:c>
      <x:c r="O60" s="16" t="str">
        <x:v>Modality comparator</x:v>
      </x:c>
      <x:c r="P60" s="16" t="str">
        <x:v>Useful multimodal physiology and event-alignment reference.</x:v>
      </x:c>
      <x:c r="Q60" s="16" t="str">
        <x:v>Requires structured comparison against ARL sensing, interaction, decision, and synchronization features.</x:v>
      </x:c>
      <x:c r="R60" s="16" t="str">
        <x:v>Medium</x:v>
      </x:c>
      <x:c r="S60" s="16" t="str">
        <x:v>Source checked</x:v>
      </x:c>
      <x:c r="T60" s="16" t="str">
        <x:v>Not read</x:v>
      </x:c>
      <x:c r="U60" s="16" t="str">
        <x:v>Web search</x:v>
      </x:c>
      <x:c r="V60" s="16" t="str">
        <x:v>Pending</x:v>
      </x:c>
      <x:c r="W60" s="16" t="str"/>
      <x:c r="X60" s="16" t="str">
        <x:v>Added during expansion from 50 to 150 records.</x:v>
      </x:c>
      <x:c r="Y60" s="16" t="str">
        <x:v>2026-08-25</x:v>
      </x:c>
    </x:row>
    <x:row r="61">
      <x:c r="A61" s="16" t="str">
        <x:v>MDMER-0060</x:v>
      </x:c>
      <x:c r="B61" s="16" t="str">
        <x:v>Tier 3</x:v>
      </x:c>
      <x:c r="C61" s="16" t="str">
        <x:v>Core multimodal datasets</x:v>
      </x:c>
      <x:c r="D61" s="16" t="str">
        <x:v>Dataset paper</x:v>
      </x:c>
      <x:c r="E61" s="16" t="str">
        <x:v>A Uniform Human Multimodal Dataset for Emotion Perception and Judgment</x:v>
      </x:c>
      <x:c r="F61" s="16" t="n">
        <x:v>2023</x:v>
      </x:c>
      <x:c r="G61" s="16" t="str">
        <x:v>Multiple authors</x:v>
      </x:c>
      <x:c r="H61" s="16" t="str"/>
      <x:c r="I61" s="16" t="str">
        <x:v>EEG; behavior; neuroimaging subsets</x:v>
      </x:c>
      <x:c r="J61" s="16" t="str">
        <x:v>Individual</x:v>
      </x:c>
      <x:c r="K61" s="16" t="str">
        <x:v>Two-alternative forced-choice emotion judgment</x:v>
      </x:c>
      <x:c r="L61" s="16" t="str">
        <x:v>Public</x:v>
      </x:c>
      <x:c r="M61" s="16" t="str"/>
      <x:c r="N61" s="16" t="str">
        <x:v>https://www.nature.com/articles/s41597-023-02693-z</x:v>
      </x:c>
      <x:c r="O61" s="16" t="str">
        <x:v>Decision-making comparator</x:v>
      </x:c>
      <x:c r="P61" s="16" t="str">
        <x:v>Judgment task with multimodal cognitive-neuroscience data.</x:v>
      </x:c>
      <x:c r="Q61" s="16" t="str">
        <x:v>Requires structured comparison against ARL sensing, interaction, decision, and synchronization features.</x:v>
      </x:c>
      <x:c r="R61" s="16" t="str">
        <x:v>Medium</x:v>
      </x:c>
      <x:c r="S61" s="16" t="str">
        <x:v>Source checked</x:v>
      </x:c>
      <x:c r="T61" s="16" t="str">
        <x:v>Not read</x:v>
      </x:c>
      <x:c r="U61" s="16" t="str">
        <x:v>Web search</x:v>
      </x:c>
      <x:c r="V61" s="16" t="str">
        <x:v>Pending</x:v>
      </x:c>
      <x:c r="W61" s="16" t="str"/>
      <x:c r="X61" s="16" t="str">
        <x:v>Added during expansion from 50 to 150 records.</x:v>
      </x:c>
      <x:c r="Y61" s="16" t="str">
        <x:v>2026-08-25</x:v>
      </x:c>
    </x:row>
    <x:row r="62">
      <x:c r="A62" s="16" t="str">
        <x:v>MDMER-0061</x:v>
      </x:c>
      <x:c r="B62" s="16" t="str">
        <x:v>Tier 4</x:v>
      </x:c>
      <x:c r="C62" s="16" t="str">
        <x:v>Core multimodal datasets</x:v>
      </x:c>
      <x:c r="D62" s="16" t="str">
        <x:v>Dataset paper</x:v>
      </x:c>
      <x:c r="E62" s="16" t="str">
        <x:v>An Open-Access Multi-modal Dataset for Cognitive, Motor and Cognitive-Motor Tasks</x:v>
      </x:c>
      <x:c r="F62" s="16" t="n">
        <x:v>2026</x:v>
      </x:c>
      <x:c r="G62" s="16" t="str">
        <x:v>Ajra et al.</x:v>
      </x:c>
      <x:c r="H62" s="16" t="str"/>
      <x:c r="I62" s="16" t="str">
        <x:v>EEG; fNIRS; ECG; behavior; subjective ratings</x:v>
      </x:c>
      <x:c r="J62" s="16" t="str">
        <x:v>Individual</x:v>
      </x:c>
      <x:c r="K62" s="16" t="str">
        <x:v>N-back; arithmetic; motor imagery; cognitive-motor tasks</x:v>
      </x:c>
      <x:c r="L62" s="16" t="str">
        <x:v>Public</x:v>
      </x:c>
      <x:c r="M62" s="16" t="str"/>
      <x:c r="N62" s="16" t="str">
        <x:v>https://www.nature.com/articles/s41597-026-08125-y</x:v>
      </x:c>
      <x:c r="O62" s="16" t="str">
        <x:v>Modality comparator</x:v>
      </x:c>
      <x:c r="P62" s="16" t="str">
        <x:v>Synchronized multimodal neurophysiology with repeated sessions.</x:v>
      </x:c>
      <x:c r="Q62" s="16" t="str">
        <x:v>Requires structured comparison against ARL sensing, interaction, decision, and synchronization features.</x:v>
      </x:c>
      <x:c r="R62" s="16" t="str">
        <x:v>High</x:v>
      </x:c>
      <x:c r="S62" s="16" t="str">
        <x:v>Source checked</x:v>
      </x:c>
      <x:c r="T62" s="16" t="str">
        <x:v>Not read</x:v>
      </x:c>
      <x:c r="U62" s="16" t="str">
        <x:v>Web search</x:v>
      </x:c>
      <x:c r="V62" s="16" t="str">
        <x:v>Pending</x:v>
      </x:c>
      <x:c r="W62" s="16" t="str"/>
      <x:c r="X62" s="16" t="str">
        <x:v>Added during expansion from 50 to 150 records.</x:v>
      </x:c>
      <x:c r="Y62" s="16" t="str">
        <x:v>2026-08-25</x:v>
      </x:c>
    </x:row>
    <x:row r="63">
      <x:c r="A63" s="16" t="str">
        <x:v>MDMER-0062</x:v>
      </x:c>
      <x:c r="B63" s="16" t="str">
        <x:v>Tier 4</x:v>
      </x:c>
      <x:c r="C63" s="16" t="str">
        <x:v>Core multimodal datasets</x:v>
      </x:c>
      <x:c r="D63" s="16" t="str">
        <x:v>Dataset paper</x:v>
      </x:c>
      <x:c r="E63" s="16" t="str">
        <x:v>A Resource for Assessing Information Processing in the Developing Brain Using EEG and Eye Tracking</x:v>
      </x:c>
      <x:c r="F63" s="16" t="n">
        <x:v>2017</x:v>
      </x:c>
      <x:c r="G63" s="16" t="str">
        <x:v>Langer et al.</x:v>
      </x:c>
      <x:c r="H63" s="16" t="str"/>
      <x:c r="I63" s="16" t="str">
        <x:v>EEG; eye tracking; cognitive/behavioral data</x:v>
      </x:c>
      <x:c r="J63" s="16" t="str">
        <x:v>Individual</x:v>
      </x:c>
      <x:c r="K63" s="16" t="str">
        <x:v>Task battery</x:v>
      </x:c>
      <x:c r="L63" s="16" t="str">
        <x:v>Public</x:v>
      </x:c>
      <x:c r="M63" s="16" t="str"/>
      <x:c r="N63" s="16" t="str">
        <x:v>https://www.nature.com/articles/sdata201740</x:v>
      </x:c>
      <x:c r="O63" s="16" t="str">
        <x:v>Modality comparator</x:v>
      </x:c>
      <x:c r="P63" s="16" t="str">
        <x:v>Strong EEG + eye-tracking synchronization reference.</x:v>
      </x:c>
      <x:c r="Q63" s="16" t="str">
        <x:v>Requires structured comparison against ARL sensing, interaction, decision, and synchronization features.</x:v>
      </x:c>
      <x:c r="R63" s="16" t="str">
        <x:v>High</x:v>
      </x:c>
      <x:c r="S63" s="16" t="str">
        <x:v>Source checked</x:v>
      </x:c>
      <x:c r="T63" s="16" t="str">
        <x:v>Not read</x:v>
      </x:c>
      <x:c r="U63" s="16" t="str">
        <x:v>Web search</x:v>
      </x:c>
      <x:c r="V63" s="16" t="str">
        <x:v>Pending</x:v>
      </x:c>
      <x:c r="W63" s="16" t="str"/>
      <x:c r="X63" s="16" t="str">
        <x:v>Added during expansion from 50 to 150 records.</x:v>
      </x:c>
      <x:c r="Y63" s="16" t="str">
        <x:v>2026-08-25</x:v>
      </x:c>
    </x:row>
    <x:row r="64">
      <x:c r="A64" s="16" t="str">
        <x:v>MDMER-0063</x:v>
      </x:c>
      <x:c r="B64" s="16" t="str">
        <x:v>Tier 4</x:v>
      </x:c>
      <x:c r="C64" s="16" t="str">
        <x:v>Core multimodal datasets</x:v>
      </x:c>
      <x:c r="D64" s="16" t="str">
        <x:v>Dataset paper</x:v>
      </x:c>
      <x:c r="E64" s="16" t="str">
        <x:v>Neural and Physiological Data from Participants Listening to Affective Music</x:v>
      </x:c>
      <x:c r="F64" s="16" t="n">
        <x:v>2020</x:v>
      </x:c>
      <x:c r="G64" s="16" t="str">
        <x:v>Daly et al.</x:v>
      </x:c>
      <x:c r="H64" s="16" t="str"/>
      <x:c r="I64" s="16" t="str">
        <x:v>EEG; ECG/physiology; fMRI subsets; affect ratings</x:v>
      </x:c>
      <x:c r="J64" s="16" t="str">
        <x:v>Individual</x:v>
      </x:c>
      <x:c r="K64" s="16" t="str">
        <x:v>Affective music listening</x:v>
      </x:c>
      <x:c r="L64" s="16" t="str">
        <x:v>Public</x:v>
      </x:c>
      <x:c r="M64" s="16" t="str"/>
      <x:c r="N64" s="16" t="str">
        <x:v>https://www.nature.com/articles/s41597-020-0507-6</x:v>
      </x:c>
      <x:c r="O64" s="16" t="str">
        <x:v>Modality comparator</x:v>
      </x:c>
      <x:c r="P64" s="16" t="str">
        <x:v>Large multimodal physiological collection with synchronized affect reporting.</x:v>
      </x:c>
      <x:c r="Q64" s="16" t="str">
        <x:v>Requires structured comparison against ARL sensing, interaction, decision, and synchronization features.</x:v>
      </x:c>
      <x:c r="R64" s="16" t="str">
        <x:v>Medium</x:v>
      </x:c>
      <x:c r="S64" s="16" t="str">
        <x:v>Source checked</x:v>
      </x:c>
      <x:c r="T64" s="16" t="str">
        <x:v>Not read</x:v>
      </x:c>
      <x:c r="U64" s="16" t="str">
        <x:v>Web search</x:v>
      </x:c>
      <x:c r="V64" s="16" t="str">
        <x:v>Pending</x:v>
      </x:c>
      <x:c r="W64" s="16" t="str"/>
      <x:c r="X64" s="16" t="str">
        <x:v>Added during expansion from 50 to 150 records.</x:v>
      </x:c>
      <x:c r="Y64" s="16" t="str">
        <x:v>2026-08-25</x:v>
      </x:c>
    </x:row>
    <x:row r="65">
      <x:c r="A65" s="16" t="str">
        <x:v>MDMER-0064</x:v>
      </x:c>
      <x:c r="B65" s="16" t="str">
        <x:v>Tier 4</x:v>
      </x:c>
      <x:c r="C65" s="16" t="str">
        <x:v>Core multimodal datasets</x:v>
      </x:c>
      <x:c r="D65" s="16" t="str">
        <x:v>Dataset paper</x:v>
      </x:c>
      <x:c r="E65" s="16" t="str">
        <x:v>SWELL Knowledge Work Dataset for Stress and User Modeling Research</x:v>
      </x:c>
      <x:c r="F65" s="16" t="n">
        <x:v>2014</x:v>
      </x:c>
      <x:c r="G65" s="16" t="str">
        <x:v>Koldijk et al.</x:v>
      </x:c>
      <x:c r="H65" s="16" t="str"/>
      <x:c r="I65" s="16" t="str">
        <x:v>ECG; EDA; facial expression; posture; computer interaction</x:v>
      </x:c>
      <x:c r="J65" s="16" t="str">
        <x:v>Individual</x:v>
      </x:c>
      <x:c r="K65" s="16" t="str">
        <x:v>Office knowledge work under stress</x:v>
      </x:c>
      <x:c r="L65" s="16" t="str">
        <x:v>Public</x:v>
      </x:c>
      <x:c r="M65" s="16" t="str"/>
      <x:c r="N65" s="16" t="str">
        <x:v>https://scholar.google.com/scholar?q=The+SWELL+Knowledge+Work+Dataset+for+Stress+and+User+Modeling+Research</x:v>
      </x:c>
      <x:c r="O65" s="16" t="str">
        <x:v>Modality comparator</x:v>
      </x:c>
      <x:c r="P65" s="16" t="str">
        <x:v>Combines physiology and computer behavior in a controlled task.</x:v>
      </x:c>
      <x:c r="Q65" s="16" t="str">
        <x:v>Requires structured comparison against ARL sensing, interaction, decision, and synchronization features.</x:v>
      </x:c>
      <x:c r="R65" s="16" t="str">
        <x:v>Medium</x:v>
      </x:c>
      <x:c r="S65" s="16" t="str">
        <x:v>Candidate — needs primary-source verification</x:v>
      </x:c>
      <x:c r="T65" s="16" t="str">
        <x:v>Not read</x:v>
      </x:c>
      <x:c r="U65" s="16" t="str">
        <x:v>Targeted literature expansion</x:v>
      </x:c>
      <x:c r="V65" s="16" t="str">
        <x:v>Pending</x:v>
      </x:c>
      <x:c r="W65" s="16" t="str"/>
      <x:c r="X65" s="16" t="str">
        <x:v>Added during expansion from 50 to 150 records.</x:v>
      </x:c>
      <x:c r="Y65" s="16" t="str"/>
    </x:row>
    <x:row r="66">
      <x:c r="A66" s="16" t="str">
        <x:v>MDMER-0065</x:v>
      </x:c>
      <x:c r="B66" s="16" t="str">
        <x:v>Tier 4</x:v>
      </x:c>
      <x:c r="C66" s="16" t="str">
        <x:v>Core multimodal datasets</x:v>
      </x:c>
      <x:c r="D66" s="16" t="str">
        <x:v>Dataset paper</x:v>
      </x:c>
      <x:c r="E66" s="16" t="str">
        <x:v>CLAS: A Database for Cognitive Load, Affect and Stress Recognition</x:v>
      </x:c>
      <x:c r="F66" s="16" t="n">
        <x:v>2019</x:v>
      </x:c>
      <x:c r="G66" s="16" t="str">
        <x:v>Markova et al.</x:v>
      </x:c>
      <x:c r="H66" s="16" t="str"/>
      <x:c r="I66" s="16" t="str">
        <x:v>ECG; EDA; PPG; accelerometer; video; behavioral/self-report</x:v>
      </x:c>
      <x:c r="J66" s="16" t="str">
        <x:v>Individual</x:v>
      </x:c>
      <x:c r="K66" s="16" t="str">
        <x:v>Cognitive load and affect tasks</x:v>
      </x:c>
      <x:c r="L66" s="16" t="str">
        <x:v>Public</x:v>
      </x:c>
      <x:c r="M66" s="16" t="str"/>
      <x:c r="N66" s="16" t="str">
        <x:v>https://scholar.google.com/scholar?q=CLAS+A+Database+for+Cognitive+Load+Affect+and+Stress+Recognition</x:v>
      </x:c>
      <x:c r="O66" s="16" t="str">
        <x:v>Modality comparator</x:v>
      </x:c>
      <x:c r="P66" s="16" t="str">
        <x:v>Relevant peripheral physiology and task-state annotation.</x:v>
      </x:c>
      <x:c r="Q66" s="16" t="str">
        <x:v>Requires structured comparison against ARL sensing, interaction, decision, and synchronization features.</x:v>
      </x:c>
      <x:c r="R66" s="16" t="str">
        <x:v>Medium</x:v>
      </x:c>
      <x:c r="S66" s="16" t="str">
        <x:v>Candidate — needs primary-source verification</x:v>
      </x:c>
      <x:c r="T66" s="16" t="str">
        <x:v>Not read</x:v>
      </x:c>
      <x:c r="U66" s="16" t="str">
        <x:v>Targeted literature expansion</x:v>
      </x:c>
      <x:c r="V66" s="16" t="str">
        <x:v>Pending</x:v>
      </x:c>
      <x:c r="W66" s="16" t="str"/>
      <x:c r="X66" s="16" t="str">
        <x:v>Added during expansion from 50 to 150 records.</x:v>
      </x:c>
      <x:c r="Y66" s="16" t="str"/>
    </x:row>
    <x:row r="67">
      <x:c r="A67" s="16" t="str">
        <x:v>MDMER-0066</x:v>
      </x:c>
      <x:c r="B67" s="16" t="str">
        <x:v>Tier 4</x:v>
      </x:c>
      <x:c r="C67" s="16" t="str">
        <x:v>Core multimodal datasets</x:v>
      </x:c>
      <x:c r="D67" s="16" t="str">
        <x:v>Dataset paper</x:v>
      </x:c>
      <x:c r="E67" s="16" t="str">
        <x:v>BioVid Heat Pain Database</x:v>
      </x:c>
      <x:c r="F67" s="16" t="n">
        <x:v>2013</x:v>
      </x:c>
      <x:c r="G67" s="16" t="str">
        <x:v>Walter et al.</x:v>
      </x:c>
      <x:c r="H67" s="16" t="str"/>
      <x:c r="I67" s="16" t="str">
        <x:v>Video; ECG; EDA; EMG</x:v>
      </x:c>
      <x:c r="J67" s="16" t="str">
        <x:v>Individual</x:v>
      </x:c>
      <x:c r="K67" s="16" t="str">
        <x:v>Thermal pain elicitation</x:v>
      </x:c>
      <x:c r="L67" s="16" t="str">
        <x:v>Academic access</x:v>
      </x:c>
      <x:c r="M67" s="16" t="str"/>
      <x:c r="N67" s="16" t="str">
        <x:v>https://scholar.google.com/scholar?q=The+BioVid+Heat+Pain+Database+data+for+the+advancement+and+systematic+validation+of+an+automated+pain+recognition+system</x:v>
      </x:c>
      <x:c r="O67" s="16" t="str">
        <x:v>Modality comparator</x:v>
      </x:c>
      <x:c r="P67" s="16" t="str">
        <x:v>Multimodal physiology + facial behavior; useful sensor integration precedent.</x:v>
      </x:c>
      <x:c r="Q67" s="16" t="str">
        <x:v>Requires structured comparison against ARL sensing, interaction, decision, and synchronization features.</x:v>
      </x:c>
      <x:c r="R67" s="16" t="str">
        <x:v>Medium</x:v>
      </x:c>
      <x:c r="S67" s="16" t="str">
        <x:v>Candidate — needs primary-source verification</x:v>
      </x:c>
      <x:c r="T67" s="16" t="str">
        <x:v>Not read</x:v>
      </x:c>
      <x:c r="U67" s="16" t="str">
        <x:v>Targeted literature expansion</x:v>
      </x:c>
      <x:c r="V67" s="16" t="str">
        <x:v>Pending</x:v>
      </x:c>
      <x:c r="W67" s="16" t="str"/>
      <x:c r="X67" s="16" t="str">
        <x:v>Added during expansion from 50 to 150 records.</x:v>
      </x:c>
      <x:c r="Y67" s="16" t="str"/>
    </x:row>
    <x:row r="68">
      <x:c r="A68" s="16" t="str">
        <x:v>MDMER-0067</x:v>
      </x:c>
      <x:c r="B68" s="16" t="str">
        <x:v>Tier 4</x:v>
      </x:c>
      <x:c r="C68" s="16" t="str">
        <x:v>Core multimodal datasets</x:v>
      </x:c>
      <x:c r="D68" s="16" t="str">
        <x:v>Dataset paper</x:v>
      </x:c>
      <x:c r="E68" s="16" t="str">
        <x:v>BP4D-Spontaneous: A High-Resolution Spontaneous 3D Dynamic Facial Expression Database</x:v>
      </x:c>
      <x:c r="F68" s="16" t="n">
        <x:v>2014</x:v>
      </x:c>
      <x:c r="G68" s="16" t="str">
        <x:v>Zhang et al.</x:v>
      </x:c>
      <x:c r="H68" s="16" t="str"/>
      <x:c r="I68" s="16" t="str">
        <x:v>3D/2D video; physiological signals; FACS labels</x:v>
      </x:c>
      <x:c r="J68" s="16" t="str">
        <x:v>Individual</x:v>
      </x:c>
      <x:c r="K68" s="16" t="str">
        <x:v>Emotion elicitation</x:v>
      </x:c>
      <x:c r="L68" s="16" t="str">
        <x:v>Academic access</x:v>
      </x:c>
      <x:c r="M68" s="16" t="str"/>
      <x:c r="N68" s="16" t="str">
        <x:v>https://scholar.google.com/scholar?q=BP4D-Spontaneous+a+high-resolution+spontaneous+3D+dynamic+facial+expression+database</x:v>
      </x:c>
      <x:c r="O68" s="16" t="str">
        <x:v>Behavior comparator</x:v>
      </x:c>
      <x:c r="P68" s="16" t="str">
        <x:v>Useful synchronized video/physiological annotation precedent.</x:v>
      </x:c>
      <x:c r="Q68" s="16" t="str">
        <x:v>Requires structured comparison against ARL sensing, interaction, decision, and synchronization features.</x:v>
      </x:c>
      <x:c r="R68" s="16" t="str">
        <x:v>Low</x:v>
      </x:c>
      <x:c r="S68" s="16" t="str">
        <x:v>Candidate — needs primary-source verification</x:v>
      </x:c>
      <x:c r="T68" s="16" t="str">
        <x:v>Not read</x:v>
      </x:c>
      <x:c r="U68" s="16" t="str">
        <x:v>Targeted literature expansion</x:v>
      </x:c>
      <x:c r="V68" s="16" t="str">
        <x:v>Pending</x:v>
      </x:c>
      <x:c r="W68" s="16" t="str"/>
      <x:c r="X68" s="16" t="str">
        <x:v>Added during expansion from 50 to 150 records.</x:v>
      </x:c>
      <x:c r="Y68" s="16" t="str"/>
    </x:row>
    <x:row r="69">
      <x:c r="A69" s="16" t="str">
        <x:v>MDMER-0068</x:v>
      </x:c>
      <x:c r="B69" s="16" t="str">
        <x:v>Tier 4</x:v>
      </x:c>
      <x:c r="C69" s="16" t="str">
        <x:v>Core multimodal datasets</x:v>
      </x:c>
      <x:c r="D69" s="16" t="str">
        <x:v>Dataset paper</x:v>
      </x:c>
      <x:c r="E69" s="16" t="str">
        <x:v>MMASH: Multilevel Monitoring of Activity and Sleep in Healthy People</x:v>
      </x:c>
      <x:c r="F69" s="16" t="n">
        <x:v>2020</x:v>
      </x:c>
      <x:c r="G69" s="16" t="str">
        <x:v>Rossi et al.</x:v>
      </x:c>
      <x:c r="H69" s="16" t="str"/>
      <x:c r="I69" s="16" t="str">
        <x:v>ECG; accelerometer; sleep/activity; questionnaires</x:v>
      </x:c>
      <x:c r="J69" s="16" t="str">
        <x:v>Individual</x:v>
      </x:c>
      <x:c r="K69" s="16" t="str">
        <x:v>24-hour naturalistic monitoring</x:v>
      </x:c>
      <x:c r="L69" s="16" t="str">
        <x:v>Public</x:v>
      </x:c>
      <x:c r="M69" s="16" t="str"/>
      <x:c r="N69" s="16" t="str">
        <x:v>https://scholar.google.com/scholar?q=MMASH+Multilevel+Monitoring+of+Activity+and+Sleep+in+Healthy+people+dataset</x:v>
      </x:c>
      <x:c r="O69" s="16" t="str">
        <x:v>Modality comparator</x:v>
      </x:c>
      <x:c r="P69" s="16" t="str">
        <x:v>Reference for wearable ECG and multimodal longitudinal data organization.</x:v>
      </x:c>
      <x:c r="Q69" s="16" t="str">
        <x:v>Requires structured comparison against ARL sensing, interaction, decision, and synchronization features.</x:v>
      </x:c>
      <x:c r="R69" s="16" t="str">
        <x:v>Low</x:v>
      </x:c>
      <x:c r="S69" s="16" t="str">
        <x:v>Candidate — needs primary-source verification</x:v>
      </x:c>
      <x:c r="T69" s="16" t="str">
        <x:v>Not read</x:v>
      </x:c>
      <x:c r="U69" s="16" t="str">
        <x:v>Targeted literature expansion</x:v>
      </x:c>
      <x:c r="V69" s="16" t="str">
        <x:v>Pending</x:v>
      </x:c>
      <x:c r="W69" s="16" t="str"/>
      <x:c r="X69" s="16" t="str">
        <x:v>Added during expansion from 50 to 150 records.</x:v>
      </x:c>
      <x:c r="Y69" s="16" t="str"/>
    </x:row>
    <x:row r="70">
      <x:c r="A70" s="16" t="str">
        <x:v>MDMER-0069</x:v>
      </x:c>
      <x:c r="B70" s="16" t="str">
        <x:v>Tier 4</x:v>
      </x:c>
      <x:c r="C70" s="16" t="str">
        <x:v>Core multimodal datasets</x:v>
      </x:c>
      <x:c r="D70" s="16" t="str">
        <x:v>Dataset paper</x:v>
      </x:c>
      <x:c r="E70" s="16" t="str">
        <x:v>UBFC-Phys: A Multimodal Database for Psychophysiological Studies of Social Stress</x:v>
      </x:c>
      <x:c r="F70" s="16" t="n">
        <x:v>2021</x:v>
      </x:c>
      <x:c r="G70" s="16" t="str">
        <x:v>Meziati Sabour et al.</x:v>
      </x:c>
      <x:c r="H70" s="16" t="str"/>
      <x:c r="I70" s="16" t="str">
        <x:v>Video; PPG; EDA</x:v>
      </x:c>
      <x:c r="J70" s="16" t="str">
        <x:v>Individual</x:v>
      </x:c>
      <x:c r="K70" s="16" t="str">
        <x:v>Social stress / Trier Social Stress Test</x:v>
      </x:c>
      <x:c r="L70" s="16" t="str">
        <x:v>Public</x:v>
      </x:c>
      <x:c r="M70" s="16" t="str"/>
      <x:c r="N70" s="16" t="str">
        <x:v>https://scholar.google.com/scholar?q=UBFC-Phys+A+Multimodal+Database+for+Psychophysiological+Studies+of+Social+Stress</x:v>
      </x:c>
      <x:c r="O70" s="16" t="str">
        <x:v>Modality comparator</x:v>
      </x:c>
      <x:c r="P70" s="16" t="str">
        <x:v>Face video plus peripheral physiology under social stress.</x:v>
      </x:c>
      <x:c r="Q70" s="16" t="str">
        <x:v>Requires structured comparison against ARL sensing, interaction, decision, and synchronization features.</x:v>
      </x:c>
      <x:c r="R70" s="16" t="str">
        <x:v>Medium</x:v>
      </x:c>
      <x:c r="S70" s="16" t="str">
        <x:v>Candidate — needs primary-source verification</x:v>
      </x:c>
      <x:c r="T70" s="16" t="str">
        <x:v>Not read</x:v>
      </x:c>
      <x:c r="U70" s="16" t="str">
        <x:v>Targeted literature expansion</x:v>
      </x:c>
      <x:c r="V70" s="16" t="str">
        <x:v>Pending</x:v>
      </x:c>
      <x:c r="W70" s="16" t="str"/>
      <x:c r="X70" s="16" t="str">
        <x:v>Added during expansion from 50 to 150 records.</x:v>
      </x:c>
      <x:c r="Y70" s="16" t="str"/>
    </x:row>
    <x:row r="71">
      <x:c r="A71" s="16" t="str">
        <x:v>MDMER-0070</x:v>
      </x:c>
      <x:c r="B71" s="16" t="str">
        <x:v>Tier 4</x:v>
      </x:c>
      <x:c r="C71" s="16" t="str">
        <x:v>Core multimodal datasets</x:v>
      </x:c>
      <x:c r="D71" s="16" t="str">
        <x:v>Dataset paper</x:v>
      </x:c>
      <x:c r="E71" s="16" t="str">
        <x:v>DAPPER: A Multimodal Dataset for Person Perception and Physiological Response</x:v>
      </x:c>
      <x:c r="F71" s="16" t="n">
        <x:v>2020</x:v>
      </x:c>
      <x:c r="G71" s="16" t="str">
        <x:v>Multiple authors</x:v>
      </x:c>
      <x:c r="H71" s="16" t="str"/>
      <x:c r="I71" s="16" t="str">
        <x:v>Audio-visual; physiological signals; annotations</x:v>
      </x:c>
      <x:c r="J71" s="16" t="str">
        <x:v>Individual</x:v>
      </x:c>
      <x:c r="K71" s="16" t="str">
        <x:v>Person perception</x:v>
      </x:c>
      <x:c r="L71" s="16" t="str">
        <x:v>Public/academic</x:v>
      </x:c>
      <x:c r="M71" s="16" t="str"/>
      <x:c r="N71" s="16" t="str">
        <x:v>https://scholar.google.com/scholar?q=DAPPER+multimodal+dataset+physiological</x:v>
      </x:c>
      <x:c r="O71" s="16" t="str">
        <x:v>Background evidence</x:v>
      </x:c>
      <x:c r="P71" s="16" t="str">
        <x:v>Additional multimodal affective/behavioral comparator.</x:v>
      </x:c>
      <x:c r="Q71" s="16" t="str">
        <x:v>Requires structured comparison against ARL sensing, interaction, decision, and synchronization features.</x:v>
      </x:c>
      <x:c r="R71" s="16" t="str">
        <x:v>Low</x:v>
      </x:c>
      <x:c r="S71" s="16" t="str">
        <x:v>Candidate — needs primary-source verification</x:v>
      </x:c>
      <x:c r="T71" s="16" t="str">
        <x:v>Not read</x:v>
      </x:c>
      <x:c r="U71" s="16" t="str">
        <x:v>Targeted literature expansion</x:v>
      </x:c>
      <x:c r="V71" s="16" t="str">
        <x:v>Pending</x:v>
      </x:c>
      <x:c r="W71" s="16" t="str"/>
      <x:c r="X71" s="16" t="str">
        <x:v>Added during expansion from 50 to 150 records.</x:v>
      </x:c>
      <x:c r="Y71" s="16" t="str"/>
    </x:row>
    <x:row r="72">
      <x:c r="A72" s="16" t="str">
        <x:v>MDMER-0071</x:v>
      </x:c>
      <x:c r="B72" s="16" t="str">
        <x:v>Tier 4</x:v>
      </x:c>
      <x:c r="C72" s="16" t="str">
        <x:v>Core multimodal datasets</x:v>
      </x:c>
      <x:c r="D72" s="16" t="str">
        <x:v>Dataset paper</x:v>
      </x:c>
      <x:c r="E72" s="16" t="str">
        <x:v>PMEmo: A Dataset for Music Emotion Recognition with Physiological Signals</x:v>
      </x:c>
      <x:c r="F72" s="16" t="n">
        <x:v>2018</x:v>
      </x:c>
      <x:c r="G72" s="16" t="str">
        <x:v>Zhang et al.</x:v>
      </x:c>
      <x:c r="H72" s="16" t="str"/>
      <x:c r="I72" s="16" t="str">
        <x:v>EDA; music/audio; emotion labels</x:v>
      </x:c>
      <x:c r="J72" s="16" t="str">
        <x:v>Individual</x:v>
      </x:c>
      <x:c r="K72" s="16" t="str">
        <x:v>Music emotion</x:v>
      </x:c>
      <x:c r="L72" s="16" t="str">
        <x:v>Public</x:v>
      </x:c>
      <x:c r="M72" s="16" t="str"/>
      <x:c r="N72" s="16" t="str">
        <x:v>https://scholar.google.com/scholar?q=PMEmo+A+Dataset+for+Music+Emotion+Recognition+with+Physiological+Signals</x:v>
      </x:c>
      <x:c r="O72" s="16" t="str">
        <x:v>Background evidence</x:v>
      </x:c>
      <x:c r="P72" s="16" t="str">
        <x:v>Physiological annotation and public dataset design reference.</x:v>
      </x:c>
      <x:c r="Q72" s="16" t="str">
        <x:v>Requires structured comparison against ARL sensing, interaction, decision, and synchronization features.</x:v>
      </x:c>
      <x:c r="R72" s="16" t="str">
        <x:v>Low</x:v>
      </x:c>
      <x:c r="S72" s="16" t="str">
        <x:v>Candidate — needs primary-source verification</x:v>
      </x:c>
      <x:c r="T72" s="16" t="str">
        <x:v>Not read</x:v>
      </x:c>
      <x:c r="U72" s="16" t="str">
        <x:v>Targeted literature expansion</x:v>
      </x:c>
      <x:c r="V72" s="16" t="str">
        <x:v>Pending</x:v>
      </x:c>
      <x:c r="W72" s="16" t="str"/>
      <x:c r="X72" s="16" t="str">
        <x:v>Added during expansion from 50 to 150 records.</x:v>
      </x:c>
      <x:c r="Y72" s="16" t="str"/>
    </x:row>
    <x:row r="73">
      <x:c r="A73" s="16" t="str">
        <x:v>MDMER-0072</x:v>
      </x:c>
      <x:c r="B73" s="16" t="str">
        <x:v>Tier 4</x:v>
      </x:c>
      <x:c r="C73" s="16" t="str">
        <x:v>Core multimodal datasets</x:v>
      </x:c>
      <x:c r="D73" s="16" t="str">
        <x:v>Dataset paper</x:v>
      </x:c>
      <x:c r="E73" s="16" t="str">
        <x:v>DECAF: MEG-Based Multimodal Database for Decoding Affective Physiological Responses</x:v>
      </x:c>
      <x:c r="F73" s="16" t="n">
        <x:v>2015</x:v>
      </x:c>
      <x:c r="G73" s="16" t="str">
        <x:v>Abadi et al.</x:v>
      </x:c>
      <x:c r="H73" s="16" t="str"/>
      <x:c r="I73" s="16" t="str">
        <x:v>MEG; ECG; EOG; EMG; peripheral physiology; video stimuli</x:v>
      </x:c>
      <x:c r="J73" s="16" t="str">
        <x:v>Individual</x:v>
      </x:c>
      <x:c r="K73" s="16" t="str">
        <x:v>Affective video/music</x:v>
      </x:c>
      <x:c r="L73" s="16" t="str">
        <x:v>Academic access</x:v>
      </x:c>
      <x:c r="M73" s="16" t="str"/>
      <x:c r="N73" s="16" t="str">
        <x:v>https://scholar.google.com/scholar?q=DECAF+MEG-based+multimodal+database+for+decoding+affective+physiological+responses</x:v>
      </x:c>
      <x:c r="O73" s="16" t="str">
        <x:v>Modality comparator</x:v>
      </x:c>
      <x:c r="P73" s="16" t="str">
        <x:v>Rich central + peripheral physiological multimodality.</x:v>
      </x:c>
      <x:c r="Q73" s="16" t="str">
        <x:v>Requires structured comparison against ARL sensing, interaction, decision, and synchronization features.</x:v>
      </x:c>
      <x:c r="R73" s="16" t="str">
        <x:v>Medium</x:v>
      </x:c>
      <x:c r="S73" s="16" t="str">
        <x:v>Candidate — needs primary-source verification</x:v>
      </x:c>
      <x:c r="T73" s="16" t="str">
        <x:v>Not read</x:v>
      </x:c>
      <x:c r="U73" s="16" t="str">
        <x:v>Targeted literature expansion</x:v>
      </x:c>
      <x:c r="V73" s="16" t="str">
        <x:v>Pending</x:v>
      </x:c>
      <x:c r="W73" s="16" t="str"/>
      <x:c r="X73" s="16" t="str">
        <x:v>Added during expansion from 50 to 150 records.</x:v>
      </x:c>
      <x:c r="Y73" s="16" t="str"/>
    </x:row>
    <x:row r="74">
      <x:c r="A74" s="16" t="str">
        <x:v>MDMER-0073</x:v>
      </x:c>
      <x:c r="B74" s="16" t="str">
        <x:v>Tier 4</x:v>
      </x:c>
      <x:c r="C74" s="16" t="str">
        <x:v>Core multimodal datasets</x:v>
      </x:c>
      <x:c r="D74" s="16" t="str">
        <x:v>Dataset paper</x:v>
      </x:c>
      <x:c r="E74" s="16" t="str">
        <x:v>AMIGOS Companion Multimodal Affective Computing Benchmark Study</x:v>
      </x:c>
      <x:c r="F74" s="16" t="n">
        <x:v>2018</x:v>
      </x:c>
      <x:c r="G74" s="16" t="str">
        <x:v>Siddharth et al.</x:v>
      </x:c>
      <x:c r="H74" s="16" t="str"/>
      <x:c r="I74" s="16" t="str">
        <x:v>EEG; ECG; GSR; video</x:v>
      </x:c>
      <x:c r="J74" s="16" t="str">
        <x:v>Individual + groups</x:v>
      </x:c>
      <x:c r="K74" s="16" t="str">
        <x:v>Emotion classification</x:v>
      </x:c>
      <x:c r="L74" s="16" t="str">
        <x:v>Public via AMIGOS</x:v>
      </x:c>
      <x:c r="M74" s="16" t="str"/>
      <x:c r="N74" s="16" t="str">
        <x:v>https://arxiv.org/abs/1804.09452</x:v>
      </x:c>
      <x:c r="O74" s="16" t="str">
        <x:v>Background evidence</x:v>
      </x:c>
      <x:c r="P74" s="16" t="str">
        <x:v>Shows multimodal fusion behavior using a key comparator dataset.</x:v>
      </x:c>
      <x:c r="Q74" s="16" t="str">
        <x:v>Requires structured comparison against ARL sensing, interaction, decision, and synchronization features.</x:v>
      </x:c>
      <x:c r="R74" s="16" t="str">
        <x:v>Medium</x:v>
      </x:c>
      <x:c r="S74" s="16" t="str">
        <x:v>Candidate — needs primary-source verification</x:v>
      </x:c>
      <x:c r="T74" s="16" t="str">
        <x:v>Not read</x:v>
      </x:c>
      <x:c r="U74" s="16" t="str">
        <x:v>Targeted literature expansion</x:v>
      </x:c>
      <x:c r="V74" s="16" t="str">
        <x:v>Pending</x:v>
      </x:c>
      <x:c r="W74" s="16" t="str"/>
      <x:c r="X74" s="16" t="str">
        <x:v>Added during expansion from 50 to 150 records.</x:v>
      </x:c>
      <x:c r="Y74" s="16" t="str"/>
    </x:row>
    <x:row r="75">
      <x:c r="A75" s="16" t="str">
        <x:v>MDMER-0074</x:v>
      </x:c>
      <x:c r="B75" s="16" t="str">
        <x:v>Tier 4</x:v>
      </x:c>
      <x:c r="C75" s="16" t="str">
        <x:v>Core multimodal datasets</x:v>
      </x:c>
      <x:c r="D75" s="16" t="str">
        <x:v>Dataset paper</x:v>
      </x:c>
      <x:c r="E75" s="16" t="str">
        <x:v>AffectiveROAD: A Multimodal Dataset for Affect Recognition in Driving</x:v>
      </x:c>
      <x:c r="F75" s="16" t="n">
        <x:v>2019</x:v>
      </x:c>
      <x:c r="G75" s="16" t="str">
        <x:v>Haouij et al.</x:v>
      </x:c>
      <x:c r="H75" s="16" t="str"/>
      <x:c r="I75" s="16" t="str">
        <x:v>EDA; ECG/HR; respiration; video/vehicle context</x:v>
      </x:c>
      <x:c r="J75" s="16" t="str">
        <x:v>Individual</x:v>
      </x:c>
      <x:c r="K75" s="16" t="str">
        <x:v>Real-world driving</x:v>
      </x:c>
      <x:c r="L75" s="16" t="str">
        <x:v>Academic/public</x:v>
      </x:c>
      <x:c r="M75" s="16" t="str"/>
      <x:c r="N75" s="16" t="str">
        <x:v>https://scholar.google.com/scholar?q=AffectiveROAD+dataset+multimodal+affect+recognition+driving</x:v>
      </x:c>
      <x:c r="O75" s="16" t="str">
        <x:v>Modality comparator</x:v>
      </x:c>
      <x:c r="P75" s="16" t="str">
        <x:v>Naturalistic multimodal physiology and event context.</x:v>
      </x:c>
      <x:c r="Q75" s="16" t="str">
        <x:v>Requires structured comparison against ARL sensing, interaction, decision, and synchronization features.</x:v>
      </x:c>
      <x:c r="R75" s="16" t="str">
        <x:v>Low</x:v>
      </x:c>
      <x:c r="S75" s="16" t="str">
        <x:v>Candidate — needs primary-source verification</x:v>
      </x:c>
      <x:c r="T75" s="16" t="str">
        <x:v>Not read</x:v>
      </x:c>
      <x:c r="U75" s="16" t="str">
        <x:v>Targeted literature expansion</x:v>
      </x:c>
      <x:c r="V75" s="16" t="str">
        <x:v>Pending</x:v>
      </x:c>
      <x:c r="W75" s="16" t="str"/>
      <x:c r="X75" s="16" t="str">
        <x:v>Added during expansion from 50 to 150 records.</x:v>
      </x:c>
      <x:c r="Y75" s="16" t="str"/>
    </x:row>
    <x:row r="76">
      <x:c r="A76" s="16" t="str">
        <x:v>MDMER-0075</x:v>
      </x:c>
      <x:c r="B76" s="16" t="str">
        <x:v>Tier 4</x:v>
      </x:c>
      <x:c r="C76" s="16" t="str">
        <x:v>Core multimodal datasets</x:v>
      </x:c>
      <x:c r="D76" s="16" t="str">
        <x:v>Dataset paper</x:v>
      </x:c>
      <x:c r="E76" s="16" t="str">
        <x:v>Driver Stress Dataset / Stress Recognition in Automobile Drivers</x:v>
      </x:c>
      <x:c r="F76" s="16" t="n">
        <x:v>2005</x:v>
      </x:c>
      <x:c r="G76" s="16" t="str">
        <x:v>Healey &amp; Picard</x:v>
      </x:c>
      <x:c r="H76" s="16" t="str"/>
      <x:c r="I76" s="16" t="str">
        <x:v>ECG; EMG; EDA; respiration</x:v>
      </x:c>
      <x:c r="J76" s="16" t="str">
        <x:v>Individual</x:v>
      </x:c>
      <x:c r="K76" s="16" t="str">
        <x:v>Real-world driving stress</x:v>
      </x:c>
      <x:c r="L76" s="16" t="str">
        <x:v>Public/academic</x:v>
      </x:c>
      <x:c r="M76" s="16" t="str"/>
      <x:c r="N76" s="16" t="str">
        <x:v>https://scholar.google.com/scholar?q=Detecting+stress+during+real-world+driving+tasks+using+physiological+sensors</x:v>
      </x:c>
      <x:c r="O76" s="16" t="str">
        <x:v>Modality comparator</x:v>
      </x:c>
      <x:c r="P76" s="16" t="str">
        <x:v>Classic multimodal physiological sensing study.</x:v>
      </x:c>
      <x:c r="Q76" s="16" t="str">
        <x:v>Requires structured comparison against ARL sensing, interaction, decision, and synchronization features.</x:v>
      </x:c>
      <x:c r="R76" s="16" t="str">
        <x:v>Low</x:v>
      </x:c>
      <x:c r="S76" s="16" t="str">
        <x:v>Candidate — needs primary-source verification</x:v>
      </x:c>
      <x:c r="T76" s="16" t="str">
        <x:v>Not read</x:v>
      </x:c>
      <x:c r="U76" s="16" t="str">
        <x:v>Targeted literature expansion</x:v>
      </x:c>
      <x:c r="V76" s="16" t="str">
        <x:v>Pending</x:v>
      </x:c>
      <x:c r="W76" s="16" t="str"/>
      <x:c r="X76" s="16" t="str">
        <x:v>Added during expansion from 50 to 150 records.</x:v>
      </x:c>
      <x:c r="Y76" s="16" t="str"/>
    </x:row>
    <x:row r="77">
      <x:c r="A77" s="16" t="str">
        <x:v>MDMER-0076</x:v>
      </x:c>
      <x:c r="B77" s="16" t="str">
        <x:v>Tier 4</x:v>
      </x:c>
      <x:c r="C77" s="16" t="str">
        <x:v>Core multimodal datasets</x:v>
      </x:c>
      <x:c r="D77" s="16" t="str">
        <x:v>Dataset paper</x:v>
      </x:c>
      <x:c r="E77" s="16" t="str">
        <x:v>MMSD: Multimodal Mental Stress Detection Dataset</x:v>
      </x:c>
      <x:c r="F77" s="16" t="n">
        <x:v>2022</x:v>
      </x:c>
      <x:c r="G77" s="16" t="str">
        <x:v>Multiple authors</x:v>
      </x:c>
      <x:c r="H77" s="16" t="str"/>
      <x:c r="I77" s="16" t="str">
        <x:v>EEG; ECG; EDA; respiration/behavioral measures</x:v>
      </x:c>
      <x:c r="J77" s="16" t="str">
        <x:v>Individual</x:v>
      </x:c>
      <x:c r="K77" s="16" t="str">
        <x:v>Mental stress tasks</x:v>
      </x:c>
      <x:c r="L77" s="16" t="str">
        <x:v>Public/academic</x:v>
      </x:c>
      <x:c r="M77" s="16" t="str"/>
      <x:c r="N77" s="16" t="str">
        <x:v>https://scholar.google.com/scholar?q=multimodal+mental+stress+detection+dataset+EEG+ECG+EDA</x:v>
      </x:c>
      <x:c r="O77" s="16" t="str">
        <x:v>Modality comparator</x:v>
      </x:c>
      <x:c r="P77" s="16" t="str">
        <x:v>Synchronized stress physiology useful as engineering comparator.</x:v>
      </x:c>
      <x:c r="Q77" s="16" t="str">
        <x:v>Requires structured comparison against ARL sensing, interaction, decision, and synchronization features.</x:v>
      </x:c>
      <x:c r="R77" s="16" t="str">
        <x:v>Low</x:v>
      </x:c>
      <x:c r="S77" s="16" t="str">
        <x:v>Candidate — needs primary-source verification</x:v>
      </x:c>
      <x:c r="T77" s="16" t="str">
        <x:v>Not read</x:v>
      </x:c>
      <x:c r="U77" s="16" t="str">
        <x:v>Targeted literature expansion</x:v>
      </x:c>
      <x:c r="V77" s="16" t="str">
        <x:v>Pending</x:v>
      </x:c>
      <x:c r="W77" s="16" t="str"/>
      <x:c r="X77" s="16" t="str">
        <x:v>Added during expansion from 50 to 150 records.</x:v>
      </x:c>
      <x:c r="Y77" s="16" t="str"/>
    </x:row>
    <x:row r="78">
      <x:c r="A78" s="16" t="str">
        <x:v>MDMER-0077</x:v>
      </x:c>
      <x:c r="B78" s="16" t="str">
        <x:v>Tier 4</x:v>
      </x:c>
      <x:c r="C78" s="16" t="str">
        <x:v>Core multimodal datasets</x:v>
      </x:c>
      <x:c r="D78" s="16" t="str">
        <x:v>Dataset paper</x:v>
      </x:c>
      <x:c r="E78" s="16" t="str">
        <x:v>A Multimodal Dataset for Human Stress Detection in Human-Computer Interaction</x:v>
      </x:c>
      <x:c r="F78" s="16" t="n">
        <x:v>2023</x:v>
      </x:c>
      <x:c r="G78" s="16" t="str">
        <x:v>Multiple authors</x:v>
      </x:c>
      <x:c r="H78" s="16" t="str"/>
      <x:c r="I78" s="16" t="str">
        <x:v>EEG; ECG/PPG; EDA; video; interaction logs</x:v>
      </x:c>
      <x:c r="J78" s="16" t="str">
        <x:v>Individual</x:v>
      </x:c>
      <x:c r="K78" s="16" t="str">
        <x:v>Computer tasks under stress</x:v>
      </x:c>
      <x:c r="L78" s="16" t="str">
        <x:v>Public/academic</x:v>
      </x:c>
      <x:c r="M78" s="16" t="str"/>
      <x:c r="N78" s="16" t="str">
        <x:v>https://scholar.google.com/scholar?q=multimodal+dataset+human+stress+detection+EEG+ECG+EDA+video+human+computer+interaction</x:v>
      </x:c>
      <x:c r="O78" s="16" t="str">
        <x:v>Modality comparator</x:v>
      </x:c>
      <x:c r="P78" s="16" t="str">
        <x:v>Potential multimodal acquisition comparator; verify exact dataset details.</x:v>
      </x:c>
      <x:c r="Q78" s="16" t="str">
        <x:v>Requires structured comparison against ARL sensing, interaction, decision, and synchronization features.</x:v>
      </x:c>
      <x:c r="R78" s="16" t="str">
        <x:v>Low</x:v>
      </x:c>
      <x:c r="S78" s="16" t="str">
        <x:v>Candidate — needs primary-source verification</x:v>
      </x:c>
      <x:c r="T78" s="16" t="str">
        <x:v>Not read</x:v>
      </x:c>
      <x:c r="U78" s="16" t="str">
        <x:v>Targeted literature expansion</x:v>
      </x:c>
      <x:c r="V78" s="16" t="str">
        <x:v>Pending</x:v>
      </x:c>
      <x:c r="W78" s="16" t="str"/>
      <x:c r="X78" s="16" t="str">
        <x:v>Added during expansion from 50 to 150 records.</x:v>
      </x:c>
      <x:c r="Y78" s="16" t="str"/>
    </x:row>
    <x:row r="79">
      <x:c r="A79" s="16" t="str">
        <x:v>MDMER-0078</x:v>
      </x:c>
      <x:c r="B79" s="16" t="str">
        <x:v>Tier 4</x:v>
      </x:c>
      <x:c r="C79" s="16" t="str">
        <x:v>Core multimodal datasets</x:v>
      </x:c>
      <x:c r="D79" s="16" t="str">
        <x:v>Dataset paper</x:v>
      </x:c>
      <x:c r="E79" s="16" t="str">
        <x:v>A Multimodal Dataset for Cognitive Workload Assessment Using EEG and Peripheral Physiology</x:v>
      </x:c>
      <x:c r="F79" s="16" t="n">
        <x:v>2022</x:v>
      </x:c>
      <x:c r="G79" s="16" t="str">
        <x:v>Multiple authors</x:v>
      </x:c>
      <x:c r="H79" s="16" t="str"/>
      <x:c r="I79" s="16" t="str">
        <x:v>EEG; ECG/PPG; EDA; respiration</x:v>
      </x:c>
      <x:c r="J79" s="16" t="str">
        <x:v>Individual</x:v>
      </x:c>
      <x:c r="K79" s="16" t="str">
        <x:v>Cognitive workload</x:v>
      </x:c>
      <x:c r="L79" s="16" t="str">
        <x:v>Public/academic</x:v>
      </x:c>
      <x:c r="M79" s="16" t="str"/>
      <x:c r="N79" s="16" t="str">
        <x:v>https://scholar.google.com/scholar?q=multimodal+dataset+cognitive+workload+EEG+peripheral+physiology</x:v>
      </x:c>
      <x:c r="O79" s="16" t="str">
        <x:v>Modality comparator</x:v>
      </x:c>
      <x:c r="P79" s="16" t="str">
        <x:v>Relevant to multimodal physiological feature integration.</x:v>
      </x:c>
      <x:c r="Q79" s="16" t="str">
        <x:v>Requires structured comparison against ARL sensing, interaction, decision, and synchronization features.</x:v>
      </x:c>
      <x:c r="R79" s="16" t="str">
        <x:v>Low</x:v>
      </x:c>
      <x:c r="S79" s="16" t="str">
        <x:v>Candidate — needs primary-source verification</x:v>
      </x:c>
      <x:c r="T79" s="16" t="str">
        <x:v>Not read</x:v>
      </x:c>
      <x:c r="U79" s="16" t="str">
        <x:v>Targeted literature expansion</x:v>
      </x:c>
      <x:c r="V79" s="16" t="str">
        <x:v>Pending</x:v>
      </x:c>
      <x:c r="W79" s="16" t="str"/>
      <x:c r="X79" s="16" t="str">
        <x:v>Added during expansion from 50 to 150 records.</x:v>
      </x:c>
      <x:c r="Y79" s="16" t="str"/>
    </x:row>
    <x:row r="80">
      <x:c r="A80" s="16" t="str">
        <x:v>MDMER-0079</x:v>
      </x:c>
      <x:c r="B80" s="16" t="str">
        <x:v>Tier 2</x:v>
      </x:c>
      <x:c r="C80" s="16" t="str">
        <x:v>Core multimodal datasets</x:v>
      </x:c>
      <x:c r="D80" s="16" t="str">
        <x:v>Dataset paper</x:v>
      </x:c>
      <x:c r="E80" s="16" t="str">
        <x:v>A Multimodal Dataset of Naturalistic Human-Human Interaction with Wearable Sensors</x:v>
      </x:c>
      <x:c r="F80" s="16" t="n">
        <x:v>2021</x:v>
      </x:c>
      <x:c r="G80" s="16" t="str">
        <x:v>Multiple authors</x:v>
      </x:c>
      <x:c r="H80" s="16" t="str"/>
      <x:c r="I80" s="16" t="str">
        <x:v>Wearable physiology; audio; video; motion</x:v>
      </x:c>
      <x:c r="J80" s="16" t="str">
        <x:v>Dyads/groups</x:v>
      </x:c>
      <x:c r="K80" s="16" t="str">
        <x:v>Naturalistic interaction</x:v>
      </x:c>
      <x:c r="L80" s="16" t="str">
        <x:v>Public/academic</x:v>
      </x:c>
      <x:c r="M80" s="16" t="str"/>
      <x:c r="N80" s="16" t="str">
        <x:v>https://scholar.google.com/scholar?q=multimodal+dataset+naturalistic+human+human+interaction+wearable+physiology+audio+video</x:v>
      </x:c>
      <x:c r="O80" s="16" t="str">
        <x:v>Social/group comparator</x:v>
      </x:c>
      <x:c r="P80" s="16" t="str">
        <x:v>Candidate social interaction comparator requiring verification.</x:v>
      </x:c>
      <x:c r="Q80" s="16" t="str">
        <x:v>Requires structured comparison against ARL sensing, interaction, decision, and synchronization features.</x:v>
      </x:c>
      <x:c r="R80" s="16" t="str">
        <x:v>Low</x:v>
      </x:c>
      <x:c r="S80" s="16" t="str">
        <x:v>Candidate — needs primary-source verification</x:v>
      </x:c>
      <x:c r="T80" s="16" t="str">
        <x:v>Not read</x:v>
      </x:c>
      <x:c r="U80" s="16" t="str">
        <x:v>Targeted literature expansion</x:v>
      </x:c>
      <x:c r="V80" s="16" t="str">
        <x:v>Pending</x:v>
      </x:c>
      <x:c r="W80" s="16" t="str"/>
      <x:c r="X80" s="16" t="str">
        <x:v>Added during expansion from 50 to 150 records.</x:v>
      </x:c>
      <x:c r="Y80" s="16" t="str"/>
    </x:row>
    <x:row r="81">
      <x:c r="A81" s="16" t="str">
        <x:v>MDMER-0080</x:v>
      </x:c>
      <x:c r="B81" s="16" t="str">
        <x:v>Tier 1</x:v>
      </x:c>
      <x:c r="C81" s="16" t="str">
        <x:v>Core multimodal datasets</x:v>
      </x:c>
      <x:c r="D81" s="16" t="str">
        <x:v>Dataset paper</x:v>
      </x:c>
      <x:c r="E81" s="16" t="str">
        <x:v>Puzzle-STAMPS: Multimodal Team Interaction Dataset</x:v>
      </x:c>
      <x:c r="F81" s="16" t="n">
        <x:v>2026</x:v>
      </x:c>
      <x:c r="G81" s="16" t="str">
        <x:v>Multiple authors</x:v>
      </x:c>
      <x:c r="H81" s="16" t="str"/>
      <x:c r="I81" s="16" t="str">
        <x:v>Audio; video; ECG; respiration; SpO2; temperature; IMU; RTLS</x:v>
      </x:c>
      <x:c r="J81" s="16" t="str">
        <x:v>Teams</x:v>
      </x:c>
      <x:c r="K81" s="16" t="str">
        <x:v>Collaborative puzzle solving</x:v>
      </x:c>
      <x:c r="L81" s="16" t="str">
        <x:v>Public</x:v>
      </x:c>
      <x:c r="M81" s="16" t="str">
        <x:v>https://puzzle-stamps.is.tue.mpg.de/dataset-data.html</x:v>
      </x:c>
      <x:c r="N81" s="16" t="str">
        <x:v>https://puzzle-stamps.is.tue.mpg.de/</x:v>
      </x:c>
      <x:c r="O81" s="16" t="str">
        <x:v>Social/group comparator</x:v>
      </x:c>
      <x:c r="P81" s="16" t="str">
        <x:v>Very relevant team-interaction dataset with synchronized physiology and audiovisual data.</x:v>
      </x:c>
      <x:c r="Q81" s="16" t="str">
        <x:v>Requires structured comparison against ARL sensing, interaction, decision, and synchronization features.</x:v>
      </x:c>
      <x:c r="R81" s="16" t="str">
        <x:v>Must read</x:v>
      </x:c>
      <x:c r="S81" s="16" t="str">
        <x:v>Source checked</x:v>
      </x:c>
      <x:c r="T81" s="16" t="str">
        <x:v>Not read</x:v>
      </x:c>
      <x:c r="U81" s="16" t="str">
        <x:v>Web search</x:v>
      </x:c>
      <x:c r="V81" s="16" t="str">
        <x:v>Pending</x:v>
      </x:c>
      <x:c r="W81" s="16" t="str"/>
      <x:c r="X81" s="16" t="str">
        <x:v>Added during expansion from 50 to 150 records.</x:v>
      </x:c>
      <x:c r="Y81" s="16" t="str">
        <x:v>2026-08-25</x:v>
      </x:c>
    </x:row>
    <x:row r="82">
      <x:c r="A82" s="16" t="str">
        <x:v>MDMER-0081</x:v>
      </x:c>
      <x:c r="B82" s="16" t="str">
        <x:v>Tier 3</x:v>
      </x:c>
      <x:c r="C82" s="16" t="str">
        <x:v>Decision making</x:v>
      </x:c>
      <x:c r="D82" s="16" t="str">
        <x:v>Dataset paper</x:v>
      </x:c>
      <x:c r="E82" s="16" t="str">
        <x:v>A Comprehensive Multimodal MRI and EEG-TMS Dataset on the Impact of Parietal Cortex Inhibition on Decision-Making under Ambiguity</x:v>
      </x:c>
      <x:c r="F82" s="16" t="n">
        <x:v>2026</x:v>
      </x:c>
      <x:c r="G82" s="16" t="str">
        <x:v>Multiple authors</x:v>
      </x:c>
      <x:c r="H82" s="16" t="str"/>
      <x:c r="I82" s="16" t="str">
        <x:v>MRI; EEG; TMS; behavior</x:v>
      </x:c>
      <x:c r="J82" s="16" t="str">
        <x:v>Individual</x:v>
      </x:c>
      <x:c r="K82" s="16" t="str">
        <x:v>Risk and ambiguity decision-making</x:v>
      </x:c>
      <x:c r="L82" s="16" t="str">
        <x:v>Public</x:v>
      </x:c>
      <x:c r="M82" s="16" t="str"/>
      <x:c r="N82" s="16" t="str">
        <x:v>https://doi.org/10.1016/j.dib.2026.112535</x:v>
      </x:c>
      <x:c r="O82" s="16" t="str">
        <x:v>Decision-making comparator</x:v>
      </x:c>
      <x:c r="P82" s="16" t="str">
        <x:v>Direct decision-under-ambiguity dataset.</x:v>
      </x:c>
      <x:c r="Q82" s="16" t="str">
        <x:v>Requires structured comparison against ARL sensing, interaction, decision, and synchronization features.</x:v>
      </x:c>
      <x:c r="R82" s="16" t="str">
        <x:v>High</x:v>
      </x:c>
      <x:c r="S82" s="16" t="str">
        <x:v>Source checked</x:v>
      </x:c>
      <x:c r="T82" s="16" t="str">
        <x:v>Not read</x:v>
      </x:c>
      <x:c r="U82" s="16" t="str">
        <x:v>Web search</x:v>
      </x:c>
      <x:c r="V82" s="16" t="str">
        <x:v>Pending</x:v>
      </x:c>
      <x:c r="W82" s="16" t="str"/>
      <x:c r="X82" s="16" t="str">
        <x:v>Added during expansion from 50 to 150 records.</x:v>
      </x:c>
      <x:c r="Y82" s="16" t="str">
        <x:v>2026-08-25</x:v>
      </x:c>
    </x:row>
    <x:row r="83">
      <x:c r="A83" s="16" t="str">
        <x:v>MDMER-0082</x:v>
      </x:c>
      <x:c r="B83" s="16" t="str">
        <x:v>Tier 3</x:v>
      </x:c>
      <x:c r="C83" s="16" t="str">
        <x:v>Decision making</x:v>
      </x:c>
      <x:c r="D83" s="16" t="str">
        <x:v>Research paper</x:v>
      </x:c>
      <x:c r="E83" s="16" t="str">
        <x:v>Neural Mechanisms of Decision Making under Risk and Ambiguity</x:v>
      </x:c>
      <x:c r="F83" s="16" t="n">
        <x:v>2005</x:v>
      </x:c>
      <x:c r="G83" s="16" t="str">
        <x:v>Hsu et al.</x:v>
      </x:c>
      <x:c r="H83" s="16" t="str"/>
      <x:c r="I83" s="16" t="str">
        <x:v>fMRI; behavior</x:v>
      </x:c>
      <x:c r="J83" s="16" t="str">
        <x:v>Individual</x:v>
      </x:c>
      <x:c r="K83" s="16" t="str">
        <x:v>Risk/ambiguity choice</x:v>
      </x:c>
      <x:c r="L83" s="16" t="str">
        <x:v>Article</x:v>
      </x:c>
      <x:c r="M83" s="16" t="str"/>
      <x:c r="N83" s="16" t="str">
        <x:v>https://scholar.google.com/scholar?q=Neural+systems+responding+to+degrees+of+uncertainty+in+human+decision-making</x:v>
      </x:c>
      <x:c r="O83" s="16" t="str">
        <x:v>Background evidence</x:v>
      </x:c>
      <x:c r="P83" s="16" t="str">
        <x:v>Foundational uncertainty/ambiguity framework for ARL decisions.</x:v>
      </x:c>
      <x:c r="Q83" s="16" t="str">
        <x:v>Requires structured comparison against ARL sensing, interaction, decision, and synchronization features.</x:v>
      </x:c>
      <x:c r="R83" s="16" t="str">
        <x:v>High</x:v>
      </x:c>
      <x:c r="S83" s="16" t="str">
        <x:v>Candidate — needs primary-source verification</x:v>
      </x:c>
      <x:c r="T83" s="16" t="str">
        <x:v>Not read</x:v>
      </x:c>
      <x:c r="U83" s="16" t="str">
        <x:v>Targeted literature expansion</x:v>
      </x:c>
      <x:c r="V83" s="16" t="str">
        <x:v>Pending</x:v>
      </x:c>
      <x:c r="W83" s="16" t="str"/>
      <x:c r="X83" s="16" t="str">
        <x:v>Added during expansion from 50 to 150 records.</x:v>
      </x:c>
      <x:c r="Y83" s="16" t="str"/>
    </x:row>
    <x:row r="84">
      <x:c r="A84" s="16" t="str">
        <x:v>MDMER-0083</x:v>
      </x:c>
      <x:c r="B84" s="16" t="str">
        <x:v>Tier 3</x:v>
      </x:c>
      <x:c r="C84" s="16" t="str">
        <x:v>Decision making</x:v>
      </x:c>
      <x:c r="D84" s="16" t="str">
        <x:v>Research paper</x:v>
      </x:c>
      <x:c r="E84" s="16" t="str">
        <x:v>Neural Systems Responding to Degrees of Uncertainty in Human Decision-Making</x:v>
      </x:c>
      <x:c r="F84" s="16" t="n">
        <x:v>2005</x:v>
      </x:c>
      <x:c r="G84" s="16" t="str">
        <x:v>Huettel et al.</x:v>
      </x:c>
      <x:c r="H84" s="16" t="str"/>
      <x:c r="I84" s="16" t="str">
        <x:v>fMRI; behavior</x:v>
      </x:c>
      <x:c r="J84" s="16" t="str">
        <x:v>Individual</x:v>
      </x:c>
      <x:c r="K84" s="16" t="str">
        <x:v>Decision uncertainty</x:v>
      </x:c>
      <x:c r="L84" s="16" t="str">
        <x:v>Article</x:v>
      </x:c>
      <x:c r="M84" s="16" t="str"/>
      <x:c r="N84" s="16" t="str">
        <x:v>https://scholar.google.com/scholar?q=Neural+signatures+of+economic+preferences+for+risk+and+ambiguity</x:v>
      </x:c>
      <x:c r="O84" s="16" t="str">
        <x:v>Background evidence</x:v>
      </x:c>
      <x:c r="P84" s="16" t="str">
        <x:v>Foundational uncertainty neuroscience.</x:v>
      </x:c>
      <x:c r="Q84" s="16" t="str">
        <x:v>Requires structured comparison against ARL sensing, interaction, decision, and synchronization features.</x:v>
      </x:c>
      <x:c r="R84" s="16" t="str">
        <x:v>High</x:v>
      </x:c>
      <x:c r="S84" s="16" t="str">
        <x:v>Candidate — needs primary-source verification</x:v>
      </x:c>
      <x:c r="T84" s="16" t="str">
        <x:v>Not read</x:v>
      </x:c>
      <x:c r="U84" s="16" t="str">
        <x:v>Targeted literature expansion</x:v>
      </x:c>
      <x:c r="V84" s="16" t="str">
        <x:v>Pending</x:v>
      </x:c>
      <x:c r="W84" s="16" t="str"/>
      <x:c r="X84" s="16" t="str">
        <x:v>Added during expansion from 50 to 150 records.</x:v>
      </x:c>
      <x:c r="Y84" s="16" t="str"/>
    </x:row>
    <x:row r="85">
      <x:c r="A85" s="16" t="str">
        <x:v>MDMER-0084</x:v>
      </x:c>
      <x:c r="B85" s="16" t="str">
        <x:v>Tier 3</x:v>
      </x:c>
      <x:c r="C85" s="16" t="str">
        <x:v>Decision making</x:v>
      </x:c>
      <x:c r="D85" s="16" t="str">
        <x:v>Research paper</x:v>
      </x:c>
      <x:c r="E85" s="16" t="str">
        <x:v>The Neural Basis of Loss Aversion in Decision-Making under Risk</x:v>
      </x:c>
      <x:c r="F85" s="16" t="n">
        <x:v>2007</x:v>
      </x:c>
      <x:c r="G85" s="16" t="str">
        <x:v>Tom et al.</x:v>
      </x:c>
      <x:c r="H85" s="16" t="str"/>
      <x:c r="I85" s="16" t="str">
        <x:v>fMRI; behavior</x:v>
      </x:c>
      <x:c r="J85" s="16" t="str">
        <x:v>Individual</x:v>
      </x:c>
      <x:c r="K85" s="16" t="str">
        <x:v>Risky choice</x:v>
      </x:c>
      <x:c r="L85" s="16" t="str">
        <x:v>Article</x:v>
      </x:c>
      <x:c r="M85" s="16" t="str"/>
      <x:c r="N85" s="16" t="str">
        <x:v>https://scholar.google.com/scholar?q=The+neural+basis+of+loss+aversion+in+decision-making+under+risk</x:v>
      </x:c>
      <x:c r="O85" s="16" t="str">
        <x:v>Background evidence</x:v>
      </x:c>
      <x:c r="P85" s="16" t="str">
        <x:v>Classic decision neuroscience comparator.</x:v>
      </x:c>
      <x:c r="Q85" s="16" t="str">
        <x:v>Requires structured comparison against ARL sensing, interaction, decision, and synchronization features.</x:v>
      </x:c>
      <x:c r="R85" s="16" t="str">
        <x:v>Medium</x:v>
      </x:c>
      <x:c r="S85" s="16" t="str">
        <x:v>Candidate — needs primary-source verification</x:v>
      </x:c>
      <x:c r="T85" s="16" t="str">
        <x:v>Not read</x:v>
      </x:c>
      <x:c r="U85" s="16" t="str">
        <x:v>Targeted literature expansion</x:v>
      </x:c>
      <x:c r="V85" s="16" t="str">
        <x:v>Pending</x:v>
      </x:c>
      <x:c r="W85" s="16" t="str"/>
      <x:c r="X85" s="16" t="str">
        <x:v>Added during expansion from 50 to 150 records.</x:v>
      </x:c>
      <x:c r="Y85" s="16" t="str"/>
    </x:row>
    <x:row r="86">
      <x:c r="A86" s="16" t="str">
        <x:v>MDMER-0085</x:v>
      </x:c>
      <x:c r="B86" s="16" t="str">
        <x:v>Tier 3</x:v>
      </x:c>
      <x:c r="C86" s="16" t="str">
        <x:v>Decision making</x:v>
      </x:c>
      <x:c r="D86" s="16" t="str">
        <x:v>Research paper</x:v>
      </x:c>
      <x:c r="E86" s="16" t="str">
        <x:v>Single-Trial EEG Correlates of Confidence and Error Awareness in Perceptual Decision Making</x:v>
      </x:c>
      <x:c r="F86" s="16" t="n">
        <x:v>2010</x:v>
      </x:c>
      <x:c r="G86" s="16" t="str">
        <x:v>Multiple authors</x:v>
      </x:c>
      <x:c r="H86" s="16" t="str"/>
      <x:c r="I86" s="16" t="str">
        <x:v>EEG; behavior; confidence</x:v>
      </x:c>
      <x:c r="J86" s="16" t="str">
        <x:v>Individual</x:v>
      </x:c>
      <x:c r="K86" s="16" t="str">
        <x:v>Perceptual decisions</x:v>
      </x:c>
      <x:c r="L86" s="16" t="str">
        <x:v>Article</x:v>
      </x:c>
      <x:c r="M86" s="16" t="str"/>
      <x:c r="N86" s="16" t="str">
        <x:v>https://scholar.google.com/scholar?q=EEG+confidence+perceptual+decision+making+single+trial</x:v>
      </x:c>
      <x:c r="O86" s="16" t="str">
        <x:v>Decision-making comparator</x:v>
      </x:c>
      <x:c r="P86" s="16" t="str">
        <x:v>Direct confidence-linked EEG evidence.</x:v>
      </x:c>
      <x:c r="Q86" s="16" t="str">
        <x:v>Requires structured comparison against ARL sensing, interaction, decision, and synchronization features.</x:v>
      </x:c>
      <x:c r="R86" s="16" t="str">
        <x:v>High</x:v>
      </x:c>
      <x:c r="S86" s="16" t="str">
        <x:v>Candidate — needs primary-source verification</x:v>
      </x:c>
      <x:c r="T86" s="16" t="str">
        <x:v>Not read</x:v>
      </x:c>
      <x:c r="U86" s="16" t="str">
        <x:v>Targeted literature expansion</x:v>
      </x:c>
      <x:c r="V86" s="16" t="str">
        <x:v>Pending</x:v>
      </x:c>
      <x:c r="W86" s="16" t="str"/>
      <x:c r="X86" s="16" t="str">
        <x:v>Added during expansion from 50 to 150 records.</x:v>
      </x:c>
      <x:c r="Y86" s="16" t="str"/>
    </x:row>
    <x:row r="87">
      <x:c r="A87" s="16" t="str">
        <x:v>MDMER-0086</x:v>
      </x:c>
      <x:c r="B87" s="16" t="str">
        <x:v>Tier 3</x:v>
      </x:c>
      <x:c r="C87" s="16" t="str">
        <x:v>Decision making</x:v>
      </x:c>
      <x:c r="D87" s="16" t="str">
        <x:v>Research paper</x:v>
      </x:c>
      <x:c r="E87" s="16" t="str">
        <x:v>Neural Correlates of Decision Confidence</x:v>
      </x:c>
      <x:c r="F87" s="16" t="n">
        <x:v>2012</x:v>
      </x:c>
      <x:c r="G87" s="16" t="str">
        <x:v>Kepecs et al./related literature</x:v>
      </x:c>
      <x:c r="H87" s="16" t="str"/>
      <x:c r="I87" s="16" t="str">
        <x:v>EEG/fMRI; behavior</x:v>
      </x:c>
      <x:c r="J87" s="16" t="str">
        <x:v>Individual</x:v>
      </x:c>
      <x:c r="K87" s="16" t="str">
        <x:v>Confidence judgment</x:v>
      </x:c>
      <x:c r="L87" s="16" t="str">
        <x:v>Article</x:v>
      </x:c>
      <x:c r="M87" s="16" t="str"/>
      <x:c r="N87" s="16" t="str">
        <x:v>https://scholar.google.com/scholar?q=neural+correlates+of+decision+confidence+human+EEG</x:v>
      </x:c>
      <x:c r="O87" s="16" t="str">
        <x:v>Decision-making comparator</x:v>
      </x:c>
      <x:c r="P87" s="16" t="str">
        <x:v>Supports confidence as a measurable cognitive variable.</x:v>
      </x:c>
      <x:c r="Q87" s="16" t="str">
        <x:v>Requires structured comparison against ARL sensing, interaction, decision, and synchronization features.</x:v>
      </x:c>
      <x:c r="R87" s="16" t="str">
        <x:v>High</x:v>
      </x:c>
      <x:c r="S87" s="16" t="str">
        <x:v>Candidate — needs primary-source verification</x:v>
      </x:c>
      <x:c r="T87" s="16" t="str">
        <x:v>Not read</x:v>
      </x:c>
      <x:c r="U87" s="16" t="str">
        <x:v>Targeted literature expansion</x:v>
      </x:c>
      <x:c r="V87" s="16" t="str">
        <x:v>Pending</x:v>
      </x:c>
      <x:c r="W87" s="16" t="str"/>
      <x:c r="X87" s="16" t="str">
        <x:v>Added during expansion from 50 to 150 records.</x:v>
      </x:c>
      <x:c r="Y87" s="16" t="str"/>
    </x:row>
    <x:row r="88">
      <x:c r="A88" s="16" t="str">
        <x:v>MDMER-0087</x:v>
      </x:c>
      <x:c r="B88" s="16" t="str">
        <x:v>Tier 3</x:v>
      </x:c>
      <x:c r="C88" s="16" t="str">
        <x:v>Decision making</x:v>
      </x:c>
      <x:c r="D88" s="16" t="str">
        <x:v>Research paper</x:v>
      </x:c>
      <x:c r="E88" s="16" t="str">
        <x:v>Post-Decision Wagering and Confidence in Perceptual Decisions</x:v>
      </x:c>
      <x:c r="F88" s="16" t="n">
        <x:v>2006</x:v>
      </x:c>
      <x:c r="G88" s="16" t="str">
        <x:v>Persaud et al.</x:v>
      </x:c>
      <x:c r="H88" s="16" t="str"/>
      <x:c r="I88" s="16" t="str">
        <x:v>Behavior</x:v>
      </x:c>
      <x:c r="J88" s="16" t="str">
        <x:v>Individual</x:v>
      </x:c>
      <x:c r="K88" s="16" t="str">
        <x:v>Confidence / awareness</x:v>
      </x:c>
      <x:c r="L88" s="16" t="str">
        <x:v>Article</x:v>
      </x:c>
      <x:c r="M88" s="16" t="str"/>
      <x:c r="N88" s="16" t="str">
        <x:v>https://scholar.google.com/scholar?q=Post-decision+wagering+objectively+measures+awareness</x:v>
      </x:c>
      <x:c r="O88" s="16" t="str">
        <x:v>Background evidence</x:v>
      </x:c>
      <x:c r="P88" s="16" t="str">
        <x:v>Methodological precedent for confidence reporting.</x:v>
      </x:c>
      <x:c r="Q88" s="16" t="str">
        <x:v>Requires structured comparison against ARL sensing, interaction, decision, and synchronization features.</x:v>
      </x:c>
      <x:c r="R88" s="16" t="str">
        <x:v>Medium</x:v>
      </x:c>
      <x:c r="S88" s="16" t="str">
        <x:v>Candidate — needs primary-source verification</x:v>
      </x:c>
      <x:c r="T88" s="16" t="str">
        <x:v>Not read</x:v>
      </x:c>
      <x:c r="U88" s="16" t="str">
        <x:v>Targeted literature expansion</x:v>
      </x:c>
      <x:c r="V88" s="16" t="str">
        <x:v>Pending</x:v>
      </x:c>
      <x:c r="W88" s="16" t="str"/>
      <x:c r="X88" s="16" t="str">
        <x:v>Added during expansion from 50 to 150 records.</x:v>
      </x:c>
      <x:c r="Y88" s="16" t="str"/>
    </x:row>
    <x:row r="89">
      <x:c r="A89" s="16" t="str">
        <x:v>MDMER-0088</x:v>
      </x:c>
      <x:c r="B89" s="16" t="str">
        <x:v>Tier 3</x:v>
      </x:c>
      <x:c r="C89" s="16" t="str">
        <x:v>Decision making</x:v>
      </x:c>
      <x:c r="D89" s="16" t="str">
        <x:v>Research paper</x:v>
      </x:c>
      <x:c r="E89" s="16" t="str">
        <x:v>The Neural Basis of Metacognitive Confidence</x:v>
      </x:c>
      <x:c r="F89" s="16" t="n">
        <x:v>2014</x:v>
      </x:c>
      <x:c r="G89" s="16" t="str">
        <x:v>Fleming &amp; Dolan</x:v>
      </x:c>
      <x:c r="H89" s="16" t="str"/>
      <x:c r="I89" s="16" t="str">
        <x:v>fMRI/behavior review</x:v>
      </x:c>
      <x:c r="J89" s="16" t="str">
        <x:v>Individual</x:v>
      </x:c>
      <x:c r="K89" s="16" t="str">
        <x:v>Confidence / metacognition</x:v>
      </x:c>
      <x:c r="L89" s="16" t="str">
        <x:v>Article</x:v>
      </x:c>
      <x:c r="M89" s="16" t="str"/>
      <x:c r="N89" s="16" t="str">
        <x:v>https://scholar.google.com/scholar?q=The+neural+basis+of+metacognitive+ability</x:v>
      </x:c>
      <x:c r="O89" s="16" t="str">
        <x:v>Background evidence</x:v>
      </x:c>
      <x:c r="P89" s="16" t="str">
        <x:v>Theoretical basis for confidence ratings.</x:v>
      </x:c>
      <x:c r="Q89" s="16" t="str">
        <x:v>Requires structured comparison against ARL sensing, interaction, decision, and synchronization features.</x:v>
      </x:c>
      <x:c r="R89" s="16" t="str">
        <x:v>High</x:v>
      </x:c>
      <x:c r="S89" s="16" t="str">
        <x:v>Candidate — needs primary-source verification</x:v>
      </x:c>
      <x:c r="T89" s="16" t="str">
        <x:v>Not read</x:v>
      </x:c>
      <x:c r="U89" s="16" t="str">
        <x:v>Targeted literature expansion</x:v>
      </x:c>
      <x:c r="V89" s="16" t="str">
        <x:v>Pending</x:v>
      </x:c>
      <x:c r="W89" s="16" t="str"/>
      <x:c r="X89" s="16" t="str">
        <x:v>Added during expansion from 50 to 150 records.</x:v>
      </x:c>
      <x:c r="Y89" s="16" t="str"/>
    </x:row>
    <x:row r="90">
      <x:c r="A90" s="16" t="str">
        <x:v>MDMER-0089</x:v>
      </x:c>
      <x:c r="B90" s="16" t="str">
        <x:v>Tier 1</x:v>
      </x:c>
      <x:c r="C90" s="16" t="str">
        <x:v>Decision making</x:v>
      </x:c>
      <x:c r="D90" s="16" t="str">
        <x:v>Research paper</x:v>
      </x:c>
      <x:c r="E90" s="16" t="str">
        <x:v>Frontal Midline Theta Reflects Decision Conflict and Cognitive Control</x:v>
      </x:c>
      <x:c r="F90" s="16" t="n">
        <x:v>2014</x:v>
      </x:c>
      <x:c r="G90" s="16" t="str">
        <x:v>Cavanagh &amp; Frank</x:v>
      </x:c>
      <x:c r="H90" s="16" t="str"/>
      <x:c r="I90" s="16" t="str">
        <x:v>EEG review</x:v>
      </x:c>
      <x:c r="J90" s="16" t="str">
        <x:v>Individual</x:v>
      </x:c>
      <x:c r="K90" s="16" t="str">
        <x:v>Conflict/control</x:v>
      </x:c>
      <x:c r="L90" s="16" t="str">
        <x:v>Article</x:v>
      </x:c>
      <x:c r="M90" s="16" t="str"/>
      <x:c r="N90" s="16" t="str">
        <x:v>https://scholar.google.com/scholar?q=Frontal+theta+as+a+mechanism+for+cognitive+control</x:v>
      </x:c>
      <x:c r="O90" s="16" t="str">
        <x:v>Background evidence</x:v>
      </x:c>
      <x:c r="P90" s="16" t="str">
        <x:v>Directly supports ARL frontal-theta hypothesis.</x:v>
      </x:c>
      <x:c r="Q90" s="16" t="str">
        <x:v>Requires structured comparison against ARL sensing, interaction, decision, and synchronization features.</x:v>
      </x:c>
      <x:c r="R90" s="16" t="str">
        <x:v>Must read</x:v>
      </x:c>
      <x:c r="S90" s="16" t="str">
        <x:v>Candidate — needs primary-source verification</x:v>
      </x:c>
      <x:c r="T90" s="16" t="str">
        <x:v>Not read</x:v>
      </x:c>
      <x:c r="U90" s="16" t="str">
        <x:v>Targeted literature expansion</x:v>
      </x:c>
      <x:c r="V90" s="16" t="str">
        <x:v>Pending</x:v>
      </x:c>
      <x:c r="W90" s="16" t="str"/>
      <x:c r="X90" s="16" t="str">
        <x:v>Added during expansion from 50 to 150 records.</x:v>
      </x:c>
      <x:c r="Y90" s="16" t="str"/>
    </x:row>
    <x:row r="91">
      <x:c r="A91" s="16" t="str">
        <x:v>MDMER-0090</x:v>
      </x:c>
      <x:c r="B91" s="16" t="str">
        <x:v>Tier 3</x:v>
      </x:c>
      <x:c r="C91" s="16" t="str">
        <x:v>Decision making</x:v>
      </x:c>
      <x:c r="D91" s="16" t="str">
        <x:v>Research paper</x:v>
      </x:c>
      <x:c r="E91" s="16" t="str">
        <x:v>Theta and Decision Conflict in Reinforcement Learning</x:v>
      </x:c>
      <x:c r="F91" s="16" t="n">
        <x:v>2012</x:v>
      </x:c>
      <x:c r="G91" s="16" t="str">
        <x:v>Cavanagh et al.</x:v>
      </x:c>
      <x:c r="H91" s="16" t="str"/>
      <x:c r="I91" s="16" t="str">
        <x:v>EEG; behavior</x:v>
      </x:c>
      <x:c r="J91" s="16" t="str">
        <x:v>Individual</x:v>
      </x:c>
      <x:c r="K91" s="16" t="str">
        <x:v>Reinforcement learning / conflict</x:v>
      </x:c>
      <x:c r="L91" s="16" t="str">
        <x:v>Article</x:v>
      </x:c>
      <x:c r="M91" s="16" t="str"/>
      <x:c r="N91" s="16" t="str">
        <x:v>https://scholar.google.com/scholar?q=EEG+theta+decision+conflict+reinforcement+learning+Cavanagh</x:v>
      </x:c>
      <x:c r="O91" s="16" t="str">
        <x:v>Background evidence</x:v>
      </x:c>
      <x:c r="P91" s="16" t="str">
        <x:v>Links frontal theta to conflict and adaptive decisions.</x:v>
      </x:c>
      <x:c r="Q91" s="16" t="str">
        <x:v>Requires structured comparison against ARL sensing, interaction, decision, and synchronization features.</x:v>
      </x:c>
      <x:c r="R91" s="16" t="str">
        <x:v>High</x:v>
      </x:c>
      <x:c r="S91" s="16" t="str">
        <x:v>Candidate — needs primary-source verification</x:v>
      </x:c>
      <x:c r="T91" s="16" t="str">
        <x:v>Not read</x:v>
      </x:c>
      <x:c r="U91" s="16" t="str">
        <x:v>Targeted literature expansion</x:v>
      </x:c>
      <x:c r="V91" s="16" t="str">
        <x:v>Pending</x:v>
      </x:c>
      <x:c r="W91" s="16" t="str"/>
      <x:c r="X91" s="16" t="str">
        <x:v>Added during expansion from 50 to 150 records.</x:v>
      </x:c>
      <x:c r="Y91" s="16" t="str"/>
    </x:row>
    <x:row r="92">
      <x:c r="A92" s="16" t="str">
        <x:v>MDMER-0091</x:v>
      </x:c>
      <x:c r="B92" s="16" t="str">
        <x:v>Tier 3</x:v>
      </x:c>
      <x:c r="C92" s="16" t="str">
        <x:v>Decision making</x:v>
      </x:c>
      <x:c r="D92" s="16" t="str">
        <x:v>Research paper</x:v>
      </x:c>
      <x:c r="E92" s="16" t="str">
        <x:v>Error-Related Negativity and Decision Confidence</x:v>
      </x:c>
      <x:c r="F92" s="16" t="n">
        <x:v>2015</x:v>
      </x:c>
      <x:c r="G92" s="16" t="str">
        <x:v>Multiple authors</x:v>
      </x:c>
      <x:c r="H92" s="16" t="str"/>
      <x:c r="I92" s="16" t="str">
        <x:v>EEG; behavior</x:v>
      </x:c>
      <x:c r="J92" s="16" t="str">
        <x:v>Individual</x:v>
      </x:c>
      <x:c r="K92" s="16" t="str">
        <x:v>Error monitoring/confidence</x:v>
      </x:c>
      <x:c r="L92" s="16" t="str">
        <x:v>Article</x:v>
      </x:c>
      <x:c r="M92" s="16" t="str"/>
      <x:c r="N92" s="16" t="str">
        <x:v>https://scholar.google.com/scholar?q=error+related+negativity+decision+confidence+EEG</x:v>
      </x:c>
      <x:c r="O92" s="16" t="str">
        <x:v>Decision-making comparator</x:v>
      </x:c>
      <x:c r="P92" s="16" t="str">
        <x:v>Useful for trial-level decision monitoring.</x:v>
      </x:c>
      <x:c r="Q92" s="16" t="str">
        <x:v>Requires structured comparison against ARL sensing, interaction, decision, and synchronization features.</x:v>
      </x:c>
      <x:c r="R92" s="16" t="str">
        <x:v>Medium</x:v>
      </x:c>
      <x:c r="S92" s="16" t="str">
        <x:v>Candidate — needs primary-source verification</x:v>
      </x:c>
      <x:c r="T92" s="16" t="str">
        <x:v>Not read</x:v>
      </x:c>
      <x:c r="U92" s="16" t="str">
        <x:v>Targeted literature expansion</x:v>
      </x:c>
      <x:c r="V92" s="16" t="str">
        <x:v>Pending</x:v>
      </x:c>
      <x:c r="W92" s="16" t="str"/>
      <x:c r="X92" s="16" t="str">
        <x:v>Added during expansion from 50 to 150 records.</x:v>
      </x:c>
      <x:c r="Y92" s="16" t="str"/>
    </x:row>
    <x:row r="93">
      <x:c r="A93" s="16" t="str">
        <x:v>MDMER-0092</x:v>
      </x:c>
      <x:c r="B93" s="16" t="str">
        <x:v>Tier 3</x:v>
      </x:c>
      <x:c r="C93" s="16" t="str">
        <x:v>Decision making</x:v>
      </x:c>
      <x:c r="D93" s="16" t="str">
        <x:v>Research paper</x:v>
      </x:c>
      <x:c r="E93" s="16" t="str">
        <x:v>Neural Correlates of Evidence Accumulation in Human Decision Making</x:v>
      </x:c>
      <x:c r="F93" s="16" t="n">
        <x:v>2008</x:v>
      </x:c>
      <x:c r="G93" s="16" t="str">
        <x:v>Heekeren et al.</x:v>
      </x:c>
      <x:c r="H93" s="16" t="str"/>
      <x:c r="I93" s="16" t="str">
        <x:v>fMRI/EEG literature</x:v>
      </x:c>
      <x:c r="J93" s="16" t="str">
        <x:v>Individual</x:v>
      </x:c>
      <x:c r="K93" s="16" t="str">
        <x:v>Perceptual decision</x:v>
      </x:c>
      <x:c r="L93" s="16" t="str">
        <x:v>Article</x:v>
      </x:c>
      <x:c r="M93" s="16" t="str"/>
      <x:c r="N93" s="16" t="str">
        <x:v>https://scholar.google.com/scholar?q=A+general+mechanism+for+perceptual+decision-making+in+the+human+brain</x:v>
      </x:c>
      <x:c r="O93" s="16" t="str">
        <x:v>Background evidence</x:v>
      </x:c>
      <x:c r="P93" s="16" t="str">
        <x:v>Evidence accumulation framework relevant to belief updating.</x:v>
      </x:c>
      <x:c r="Q93" s="16" t="str">
        <x:v>Requires structured comparison against ARL sensing, interaction, decision, and synchronization features.</x:v>
      </x:c>
      <x:c r="R93" s="16" t="str">
        <x:v>Medium</x:v>
      </x:c>
      <x:c r="S93" s="16" t="str">
        <x:v>Candidate — needs primary-source verification</x:v>
      </x:c>
      <x:c r="T93" s="16" t="str">
        <x:v>Not read</x:v>
      </x:c>
      <x:c r="U93" s="16" t="str">
        <x:v>Targeted literature expansion</x:v>
      </x:c>
      <x:c r="V93" s="16" t="str">
        <x:v>Pending</x:v>
      </x:c>
      <x:c r="W93" s="16" t="str"/>
      <x:c r="X93" s="16" t="str">
        <x:v>Added during expansion from 50 to 150 records.</x:v>
      </x:c>
      <x:c r="Y93" s="16" t="str"/>
    </x:row>
    <x:row r="94">
      <x:c r="A94" s="16" t="str">
        <x:v>MDMER-0093</x:v>
      </x:c>
      <x:c r="B94" s="16" t="str">
        <x:v>Tier 3</x:v>
      </x:c>
      <x:c r="C94" s="16" t="str">
        <x:v>Decision making</x:v>
      </x:c>
      <x:c r="D94" s="16" t="str">
        <x:v>Research paper</x:v>
      </x:c>
      <x:c r="E94" s="16" t="str">
        <x:v>A Neural Mechanism of Reward-Based Decision-Making</x:v>
      </x:c>
      <x:c r="F94" s="16" t="n">
        <x:v>2006</x:v>
      </x:c>
      <x:c r="G94" s="16" t="str">
        <x:v>Daw et al.</x:v>
      </x:c>
      <x:c r="H94" s="16" t="str"/>
      <x:c r="I94" s="16" t="str">
        <x:v>fMRI; behavior</x:v>
      </x:c>
      <x:c r="J94" s="16" t="str">
        <x:v>Individual</x:v>
      </x:c>
      <x:c r="K94" s="16" t="str">
        <x:v>Exploration/exploitation</x:v>
      </x:c>
      <x:c r="L94" s="16" t="str">
        <x:v>Article</x:v>
      </x:c>
      <x:c r="M94" s="16" t="str"/>
      <x:c r="N94" s="16" t="str">
        <x:v>https://scholar.google.com/scholar?q=Cortical+substrates+for+exploratory+decisions+in+humans</x:v>
      </x:c>
      <x:c r="O94" s="16" t="str">
        <x:v>Background evidence</x:v>
      </x:c>
      <x:c r="P94" s="16" t="str">
        <x:v>Relevant to adaptive strategy switching.</x:v>
      </x:c>
      <x:c r="Q94" s="16" t="str">
        <x:v>Requires structured comparison against ARL sensing, interaction, decision, and synchronization features.</x:v>
      </x:c>
      <x:c r="R94" s="16" t="str">
        <x:v>Medium</x:v>
      </x:c>
      <x:c r="S94" s="16" t="str">
        <x:v>Candidate — needs primary-source verification</x:v>
      </x:c>
      <x:c r="T94" s="16" t="str">
        <x:v>Not read</x:v>
      </x:c>
      <x:c r="U94" s="16" t="str">
        <x:v>Targeted literature expansion</x:v>
      </x:c>
      <x:c r="V94" s="16" t="str">
        <x:v>Pending</x:v>
      </x:c>
      <x:c r="W94" s="16" t="str"/>
      <x:c r="X94" s="16" t="str">
        <x:v>Added during expansion from 50 to 150 records.</x:v>
      </x:c>
      <x:c r="Y94" s="16" t="str"/>
    </x:row>
    <x:row r="95">
      <x:c r="A95" s="16" t="str">
        <x:v>MDMER-0094</x:v>
      </x:c>
      <x:c r="B95" s="16" t="str">
        <x:v>Tier 3</x:v>
      </x:c>
      <x:c r="C95" s="16" t="str">
        <x:v>Decision making</x:v>
      </x:c>
      <x:c r="D95" s="16" t="str">
        <x:v>Research paper</x:v>
      </x:c>
      <x:c r="E95" s="16" t="str">
        <x:v>Exploration-Exploitation and Uncertainty in Human Decision Making</x:v>
      </x:c>
      <x:c r="F95" s="16" t="n">
        <x:v>2006</x:v>
      </x:c>
      <x:c r="G95" s="16" t="str">
        <x:v>Daw et al.</x:v>
      </x:c>
      <x:c r="H95" s="16" t="str"/>
      <x:c r="I95" s="16" t="str">
        <x:v>fMRI; behavior</x:v>
      </x:c>
      <x:c r="J95" s="16" t="str">
        <x:v>Individual</x:v>
      </x:c>
      <x:c r="K95" s="16" t="str">
        <x:v>Bandit task</x:v>
      </x:c>
      <x:c r="L95" s="16" t="str">
        <x:v>Article</x:v>
      </x:c>
      <x:c r="M95" s="16" t="str"/>
      <x:c r="N95" s="16" t="str">
        <x:v>https://scholar.google.com/scholar?q=Cortical+substrates+for+exploratory+decisions+in+humans+Daw+2006</x:v>
      </x:c>
      <x:c r="O95" s="16" t="str">
        <x:v>Background evidence</x:v>
      </x:c>
      <x:c r="P95" s="16" t="str">
        <x:v>Uncertainty-driven strategy change comparator.</x:v>
      </x:c>
      <x:c r="Q95" s="16" t="str">
        <x:v>Requires structured comparison against ARL sensing, interaction, decision, and synchronization features.</x:v>
      </x:c>
      <x:c r="R95" s="16" t="str">
        <x:v>Medium</x:v>
      </x:c>
      <x:c r="S95" s="16" t="str">
        <x:v>Candidate — needs primary-source verification</x:v>
      </x:c>
      <x:c r="T95" s="16" t="str">
        <x:v>Not read</x:v>
      </x:c>
      <x:c r="U95" s="16" t="str">
        <x:v>Targeted literature expansion</x:v>
      </x:c>
      <x:c r="V95" s="16" t="str">
        <x:v>Pending</x:v>
      </x:c>
      <x:c r="W95" s="16" t="str"/>
      <x:c r="X95" s="16" t="str">
        <x:v>Added during expansion from 50 to 150 records.</x:v>
      </x:c>
      <x:c r="Y95" s="16" t="str"/>
    </x:row>
    <x:row r="96">
      <x:c r="A96" s="16" t="str">
        <x:v>MDMER-0095</x:v>
      </x:c>
      <x:c r="B96" s="16" t="str">
        <x:v>Tier 3</x:v>
      </x:c>
      <x:c r="C96" s="16" t="str">
        <x:v>Decision making</x:v>
      </x:c>
      <x:c r="D96" s="16" t="str">
        <x:v>Research paper</x:v>
      </x:c>
      <x:c r="E96" s="16" t="str">
        <x:v>Iowa Gambling Task: Simulation of Real-Life Decision-Making</x:v>
      </x:c>
      <x:c r="F96" s="16" t="n">
        <x:v>1994</x:v>
      </x:c>
      <x:c r="G96" s="16" t="str">
        <x:v>Bechara et al.</x:v>
      </x:c>
      <x:c r="H96" s="16" t="str"/>
      <x:c r="I96" s="16" t="str">
        <x:v>Behavior; autonomic follow-up studies</x:v>
      </x:c>
      <x:c r="J96" s="16" t="str">
        <x:v>Individual</x:v>
      </x:c>
      <x:c r="K96" s="16" t="str">
        <x:v>Iowa Gambling Task</x:v>
      </x:c>
      <x:c r="L96" s="16" t="str">
        <x:v>Article</x:v>
      </x:c>
      <x:c r="M96" s="16" t="str"/>
      <x:c r="N96" s="16" t="str">
        <x:v>https://scholar.google.com/scholar?q=Insensitivity+to+future+consequences+following+damage+to+human+prefrontal+cortex+Iowa+Gambling+Task</x:v>
      </x:c>
      <x:c r="O96" s="16" t="str">
        <x:v>Background evidence</x:v>
      </x:c>
      <x:c r="P96" s="16" t="str">
        <x:v>Foundational decision-under-uncertainty paradigm.</x:v>
      </x:c>
      <x:c r="Q96" s="16" t="str">
        <x:v>Requires structured comparison against ARL sensing, interaction, decision, and synchronization features.</x:v>
      </x:c>
      <x:c r="R96" s="16" t="str">
        <x:v>High</x:v>
      </x:c>
      <x:c r="S96" s="16" t="str">
        <x:v>Candidate — needs primary-source verification</x:v>
      </x:c>
      <x:c r="T96" s="16" t="str">
        <x:v>Not read</x:v>
      </x:c>
      <x:c r="U96" s="16" t="str">
        <x:v>Targeted literature expansion</x:v>
      </x:c>
      <x:c r="V96" s="16" t="str">
        <x:v>Pending</x:v>
      </x:c>
      <x:c r="W96" s="16" t="str"/>
      <x:c r="X96" s="16" t="str">
        <x:v>Added during expansion from 50 to 150 records.</x:v>
      </x:c>
      <x:c r="Y96" s="16" t="str"/>
    </x:row>
    <x:row r="97">
      <x:c r="A97" s="16" t="str">
        <x:v>MDMER-0096</x:v>
      </x:c>
      <x:c r="B97" s="16" t="str">
        <x:v>Tier 1</x:v>
      </x:c>
      <x:c r="C97" s="16" t="str">
        <x:v>Decision making</x:v>
      </x:c>
      <x:c r="D97" s="16" t="str">
        <x:v>Research paper</x:v>
      </x:c>
      <x:c r="E97" s="16" t="str">
        <x:v>Deciding Advantageously before Knowing the Advantageous Strategy</x:v>
      </x:c>
      <x:c r="F97" s="16" t="n">
        <x:v>1997</x:v>
      </x:c>
      <x:c r="G97" s="16" t="str">
        <x:v>Bechara et al.</x:v>
      </x:c>
      <x:c r="H97" s="16" t="str"/>
      <x:c r="I97" s="16" t="str">
        <x:v>Skin conductance; behavior</x:v>
      </x:c>
      <x:c r="J97" s="16" t="str">
        <x:v>Individual</x:v>
      </x:c>
      <x:c r="K97" s="16" t="str">
        <x:v>Iowa Gambling Task</x:v>
      </x:c>
      <x:c r="L97" s="16" t="str">
        <x:v>Article</x:v>
      </x:c>
      <x:c r="M97" s="16" t="str"/>
      <x:c r="N97" s="16" t="str">
        <x:v>https://scholar.google.com/scholar?q=Deciding+advantageously+before+knowing+the+advantageous+strategy</x:v>
      </x:c>
      <x:c r="O97" s="16" t="str">
        <x:v>Decision-making comparator</x:v>
      </x:c>
      <x:c r="P97" s="16" t="str">
        <x:v>Classic physiology + implicit decision evidence.</x:v>
      </x:c>
      <x:c r="Q97" s="16" t="str">
        <x:v>Requires structured comparison against ARL sensing, interaction, decision, and synchronization features.</x:v>
      </x:c>
      <x:c r="R97" s="16" t="str">
        <x:v>Must read</x:v>
      </x:c>
      <x:c r="S97" s="16" t="str">
        <x:v>Candidate — needs primary-source verification</x:v>
      </x:c>
      <x:c r="T97" s="16" t="str">
        <x:v>Not read</x:v>
      </x:c>
      <x:c r="U97" s="16" t="str">
        <x:v>Targeted literature expansion</x:v>
      </x:c>
      <x:c r="V97" s="16" t="str">
        <x:v>Pending</x:v>
      </x:c>
      <x:c r="W97" s="16" t="str"/>
      <x:c r="X97" s="16" t="str">
        <x:v>Added during expansion from 50 to 150 records.</x:v>
      </x:c>
      <x:c r="Y97" s="16" t="str"/>
    </x:row>
    <x:row r="98">
      <x:c r="A98" s="16" t="str">
        <x:v>MDMER-0097</x:v>
      </x:c>
      <x:c r="B98" s="16" t="str">
        <x:v>Tier 3</x:v>
      </x:c>
      <x:c r="C98" s="16" t="str">
        <x:v>Decision making</x:v>
      </x:c>
      <x:c r="D98" s="16" t="str">
        <x:v>Research paper</x:v>
      </x:c>
      <x:c r="E98" s="16" t="str">
        <x:v>Anticipatory Skin Conductance Responses in the Iowa Gambling Task</x:v>
      </x:c>
      <x:c r="F98" s="16" t="n">
        <x:v>2000</x:v>
      </x:c>
      <x:c r="G98" s="16" t="str">
        <x:v>Bechara et al.</x:v>
      </x:c>
      <x:c r="H98" s="16" t="str"/>
      <x:c r="I98" s="16" t="str">
        <x:v>EDA/GSR; behavior</x:v>
      </x:c>
      <x:c r="J98" s="16" t="str">
        <x:v>Individual</x:v>
      </x:c>
      <x:c r="K98" s="16" t="str">
        <x:v>Iowa Gambling Task</x:v>
      </x:c>
      <x:c r="L98" s="16" t="str">
        <x:v>Article</x:v>
      </x:c>
      <x:c r="M98" s="16" t="str"/>
      <x:c r="N98" s="16" t="str">
        <x:v>https://scholar.google.com/scholar?q=Characterization+of+the+decision-making+deficit+of+patients+with+ventromedial+prefrontal+cortex+lesions</x:v>
      </x:c>
      <x:c r="O98" s="16" t="str">
        <x:v>Decision-making comparator</x:v>
      </x:c>
      <x:c r="P98" s="16" t="str">
        <x:v>Direct physiological marker under uncertain decisions.</x:v>
      </x:c>
      <x:c r="Q98" s="16" t="str">
        <x:v>Requires structured comparison against ARL sensing, interaction, decision, and synchronization features.</x:v>
      </x:c>
      <x:c r="R98" s="16" t="str">
        <x:v>High</x:v>
      </x:c>
      <x:c r="S98" s="16" t="str">
        <x:v>Candidate — needs primary-source verification</x:v>
      </x:c>
      <x:c r="T98" s="16" t="str">
        <x:v>Not read</x:v>
      </x:c>
      <x:c r="U98" s="16" t="str">
        <x:v>Targeted literature expansion</x:v>
      </x:c>
      <x:c r="V98" s="16" t="str">
        <x:v>Pending</x:v>
      </x:c>
      <x:c r="W98" s="16" t="str"/>
      <x:c r="X98" s="16" t="str">
        <x:v>Added during expansion from 50 to 150 records.</x:v>
      </x:c>
      <x:c r="Y98" s="16" t="str"/>
    </x:row>
    <x:row r="99">
      <x:c r="A99" s="16" t="str">
        <x:v>MDMER-0098</x:v>
      </x:c>
      <x:c r="B99" s="16" t="str">
        <x:v>Tier 3</x:v>
      </x:c>
      <x:c r="C99" s="16" t="str">
        <x:v>Decision making</x:v>
      </x:c>
      <x:c r="D99" s="16" t="str">
        <x:v>Research paper</x:v>
      </x:c>
      <x:c r="E99" s="16" t="str">
        <x:v>Heart Rate Variability and Decision-Making under Uncertainty</x:v>
      </x:c>
      <x:c r="F99" s="16" t="n">
        <x:v>2015</x:v>
      </x:c>
      <x:c r="G99" s="16" t="str">
        <x:v>Multiple authors</x:v>
      </x:c>
      <x:c r="H99" s="16" t="str"/>
      <x:c r="I99" s="16" t="str">
        <x:v>ECG/HRV; behavior</x:v>
      </x:c>
      <x:c r="J99" s="16" t="str">
        <x:v>Individual</x:v>
      </x:c>
      <x:c r="K99" s="16" t="str">
        <x:v>Risk/uncertainty task</x:v>
      </x:c>
      <x:c r="L99" s="16" t="str">
        <x:v>Article</x:v>
      </x:c>
      <x:c r="M99" s="16" t="str"/>
      <x:c r="N99" s="16" t="str">
        <x:v>https://scholar.google.com/scholar?q=heart+rate+variability+decision+making+under+uncertainty</x:v>
      </x:c>
      <x:c r="O99" s="16" t="str">
        <x:v>Decision-making comparator</x:v>
      </x:c>
      <x:c r="P99" s="16" t="str">
        <x:v>Direct HRV relevance to ARL hypotheses.</x:v>
      </x:c>
      <x:c r="Q99" s="16" t="str">
        <x:v>Requires structured comparison against ARL sensing, interaction, decision, and synchronization features.</x:v>
      </x:c>
      <x:c r="R99" s="16" t="str">
        <x:v>High</x:v>
      </x:c>
      <x:c r="S99" s="16" t="str">
        <x:v>Candidate — needs primary-source verification</x:v>
      </x:c>
      <x:c r="T99" s="16" t="str">
        <x:v>Not read</x:v>
      </x:c>
      <x:c r="U99" s="16" t="str">
        <x:v>Targeted literature expansion</x:v>
      </x:c>
      <x:c r="V99" s="16" t="str">
        <x:v>Pending</x:v>
      </x:c>
      <x:c r="W99" s="16" t="str"/>
      <x:c r="X99" s="16" t="str">
        <x:v>Added during expansion from 50 to 150 records.</x:v>
      </x:c>
      <x:c r="Y99" s="16" t="str"/>
    </x:row>
    <x:row r="100">
      <x:c r="A100" s="16" t="str">
        <x:v>MDMER-0099</x:v>
      </x:c>
      <x:c r="B100" s="16" t="str">
        <x:v>Tier 3</x:v>
      </x:c>
      <x:c r="C100" s="16" t="str">
        <x:v>Decision making</x:v>
      </x:c>
      <x:c r="D100" s="16" t="str">
        <x:v>Research paper</x:v>
      </x:c>
      <x:c r="E100" s="16" t="str">
        <x:v>Electrodermal Activity Predicts Risky Decision-Making</x:v>
      </x:c>
      <x:c r="F100" s="16" t="n">
        <x:v>2013</x:v>
      </x:c>
      <x:c r="G100" s="16" t="str">
        <x:v>Multiple authors</x:v>
      </x:c>
      <x:c r="H100" s="16" t="str"/>
      <x:c r="I100" s="16" t="str">
        <x:v>EDA/GSR; behavior</x:v>
      </x:c>
      <x:c r="J100" s="16" t="str">
        <x:v>Individual</x:v>
      </x:c>
      <x:c r="K100" s="16" t="str">
        <x:v>Risk task</x:v>
      </x:c>
      <x:c r="L100" s="16" t="str">
        <x:v>Article</x:v>
      </x:c>
      <x:c r="M100" s="16" t="str"/>
      <x:c r="N100" s="16" t="str">
        <x:v>https://scholar.google.com/scholar?q=electrodermal+activity+risky+decision+making</x:v>
      </x:c>
      <x:c r="O100" s="16" t="str">
        <x:v>Decision-making comparator</x:v>
      </x:c>
      <x:c r="P100" s="16" t="str">
        <x:v>Autonomic decision-state precedent.</x:v>
      </x:c>
      <x:c r="Q100" s="16" t="str">
        <x:v>Requires structured comparison against ARL sensing, interaction, decision, and synchronization features.</x:v>
      </x:c>
      <x:c r="R100" s="16" t="str">
        <x:v>Medium</x:v>
      </x:c>
      <x:c r="S100" s="16" t="str">
        <x:v>Candidate — needs primary-source verification</x:v>
      </x:c>
      <x:c r="T100" s="16" t="str">
        <x:v>Not read</x:v>
      </x:c>
      <x:c r="U100" s="16" t="str">
        <x:v>Targeted literature expansion</x:v>
      </x:c>
      <x:c r="V100" s="16" t="str">
        <x:v>Pending</x:v>
      </x:c>
      <x:c r="W100" s="16" t="str"/>
      <x:c r="X100" s="16" t="str">
        <x:v>Added during expansion from 50 to 150 records.</x:v>
      </x:c>
      <x:c r="Y100" s="16" t="str"/>
    </x:row>
    <x:row r="101">
      <x:c r="A101" s="16" t="str">
        <x:v>MDMER-0100</x:v>
      </x:c>
      <x:c r="B101" s="16" t="str">
        <x:v>Tier 3</x:v>
      </x:c>
      <x:c r="C101" s="16" t="str">
        <x:v>Decision making</x:v>
      </x:c>
      <x:c r="D101" s="16" t="str">
        <x:v>Research paper</x:v>
      </x:c>
      <x:c r="E101" s="16" t="str">
        <x:v>Pupil Dilation Tracks Decision Uncertainty and Surprise</x:v>
      </x:c>
      <x:c r="F101" s="16" t="n">
        <x:v>2015</x:v>
      </x:c>
      <x:c r="G101" s="16" t="str">
        <x:v>Urai et al.</x:v>
      </x:c>
      <x:c r="H101" s="16" t="str"/>
      <x:c r="I101" s="16" t="str">
        <x:v>Eye tracking/pupil; behavior</x:v>
      </x:c>
      <x:c r="J101" s="16" t="str">
        <x:v>Individual</x:v>
      </x:c>
      <x:c r="K101" s="16" t="str">
        <x:v>Perceptual decisions</x:v>
      </x:c>
      <x:c r="L101" s="16" t="str">
        <x:v>Article</x:v>
      </x:c>
      <x:c r="M101" s="16" t="str"/>
      <x:c r="N101" s="16" t="str">
        <x:v>https://scholar.google.com/scholar?q=Pupil-linked+arousal+is+driven+by+decision+uncertainty+and+alters+serial+choice+bias</x:v>
      </x:c>
      <x:c r="O101" s="16" t="str">
        <x:v>Decision-making comparator</x:v>
      </x:c>
      <x:c r="P101" s="16" t="str">
        <x:v>Eye-tracking marker of uncertainty relevant to ARL.</x:v>
      </x:c>
      <x:c r="Q101" s="16" t="str">
        <x:v>Requires structured comparison against ARL sensing, interaction, decision, and synchronization features.</x:v>
      </x:c>
      <x:c r="R101" s="16" t="str">
        <x:v>High</x:v>
      </x:c>
      <x:c r="S101" s="16" t="str">
        <x:v>Candidate — needs primary-source verification</x:v>
      </x:c>
      <x:c r="T101" s="16" t="str">
        <x:v>Not read</x:v>
      </x:c>
      <x:c r="U101" s="16" t="str">
        <x:v>Targeted literature expansion</x:v>
      </x:c>
      <x:c r="V101" s="16" t="str">
        <x:v>Pending</x:v>
      </x:c>
      <x:c r="W101" s="16" t="str"/>
      <x:c r="X101" s="16" t="str">
        <x:v>Added during expansion from 50 to 150 records.</x:v>
      </x:c>
      <x:c r="Y101" s="16" t="str"/>
    </x:row>
    <x:row r="102">
      <x:c r="A102" s="16" t="str">
        <x:v>MDMER-0101</x:v>
      </x:c>
      <x:c r="B102" s="16" t="str">
        <x:v>Tier 3</x:v>
      </x:c>
      <x:c r="C102" s="16" t="str">
        <x:v>Decision making</x:v>
      </x:c>
      <x:c r="D102" s="16" t="str">
        <x:v>Research paper</x:v>
      </x:c>
      <x:c r="E102" s="16" t="str">
        <x:v>Pupil-Linked Arousal and Decision Bias</x:v>
      </x:c>
      <x:c r="F102" s="16" t="n">
        <x:v>2017</x:v>
      </x:c>
      <x:c r="G102" s="16" t="str">
        <x:v>de Gee et al.</x:v>
      </x:c>
      <x:c r="H102" s="16" t="str"/>
      <x:c r="I102" s="16" t="str">
        <x:v>Pupillometry; behavior</x:v>
      </x:c>
      <x:c r="J102" s="16" t="str">
        <x:v>Individual</x:v>
      </x:c>
      <x:c r="K102" s="16" t="str">
        <x:v>Perceptual decisions</x:v>
      </x:c>
      <x:c r="L102" s="16" t="str">
        <x:v>Article</x:v>
      </x:c>
      <x:c r="M102" s="16" t="str"/>
      <x:c r="N102" s="16" t="str">
        <x:v>https://scholar.google.com/scholar?q=Pupil-linked+arousal+predicts+decision+bias+and+confidence</x:v>
      </x:c>
      <x:c r="O102" s="16" t="str">
        <x:v>Decision-making comparator</x:v>
      </x:c>
      <x:c r="P102" s="16" t="str">
        <x:v>Links gaze physiology and decisions.</x:v>
      </x:c>
      <x:c r="Q102" s="16" t="str">
        <x:v>Requires structured comparison against ARL sensing, interaction, decision, and synchronization features.</x:v>
      </x:c>
      <x:c r="R102" s="16" t="str">
        <x:v>Medium</x:v>
      </x:c>
      <x:c r="S102" s="16" t="str">
        <x:v>Candidate — needs primary-source verification</x:v>
      </x:c>
      <x:c r="T102" s="16" t="str">
        <x:v>Not read</x:v>
      </x:c>
      <x:c r="U102" s="16" t="str">
        <x:v>Targeted literature expansion</x:v>
      </x:c>
      <x:c r="V102" s="16" t="str">
        <x:v>Pending</x:v>
      </x:c>
      <x:c r="W102" s="16" t="str"/>
      <x:c r="X102" s="16" t="str">
        <x:v>Added during expansion from 50 to 150 records.</x:v>
      </x:c>
      <x:c r="Y102" s="16" t="str"/>
    </x:row>
    <x:row r="103">
      <x:c r="A103" s="16" t="str">
        <x:v>MDMER-0102</x:v>
      </x:c>
      <x:c r="B103" s="16" t="str">
        <x:v>Tier 3</x:v>
      </x:c>
      <x:c r="C103" s="16" t="str">
        <x:v>Decision making</x:v>
      </x:c>
      <x:c r="D103" s="16" t="str">
        <x:v>Research paper</x:v>
      </x:c>
      <x:c r="E103" s="16" t="str">
        <x:v>Autonomic Arousal and Decision Confidence</x:v>
      </x:c>
      <x:c r="F103" s="16" t="n">
        <x:v>2020</x:v>
      </x:c>
      <x:c r="G103" s="16" t="str">
        <x:v>Multiple authors</x:v>
      </x:c>
      <x:c r="H103" s="16" t="str"/>
      <x:c r="I103" s="16" t="str">
        <x:v>ECG/EDA/pupil; behavior</x:v>
      </x:c>
      <x:c r="J103" s="16" t="str">
        <x:v>Individual</x:v>
      </x:c>
      <x:c r="K103" s="16" t="str">
        <x:v>Confidence judgments</x:v>
      </x:c>
      <x:c r="L103" s="16" t="str">
        <x:v>Article</x:v>
      </x:c>
      <x:c r="M103" s="16" t="str"/>
      <x:c r="N103" s="16" t="str">
        <x:v>https://scholar.google.com/scholar?q=autonomic+arousal+decision+confidence+pupil+heart+rate+skin+conductance</x:v>
      </x:c>
      <x:c r="O103" s="16" t="str">
        <x:v>Decision-making comparator</x:v>
      </x:c>
      <x:c r="P103" s="16" t="str">
        <x:v>Multimodal confidence physiology candidate.</x:v>
      </x:c>
      <x:c r="Q103" s="16" t="str">
        <x:v>Requires structured comparison against ARL sensing, interaction, decision, and synchronization features.</x:v>
      </x:c>
      <x:c r="R103" s="16" t="str">
        <x:v>High</x:v>
      </x:c>
      <x:c r="S103" s="16" t="str">
        <x:v>Candidate — needs primary-source verification</x:v>
      </x:c>
      <x:c r="T103" s="16" t="str">
        <x:v>Not read</x:v>
      </x:c>
      <x:c r="U103" s="16" t="str">
        <x:v>Targeted literature expansion</x:v>
      </x:c>
      <x:c r="V103" s="16" t="str">
        <x:v>Pending</x:v>
      </x:c>
      <x:c r="W103" s="16" t="str"/>
      <x:c r="X103" s="16" t="str">
        <x:v>Added during expansion from 50 to 150 records.</x:v>
      </x:c>
      <x:c r="Y103" s="16" t="str"/>
    </x:row>
    <x:row r="104">
      <x:c r="A104" s="16" t="str">
        <x:v>MDMER-0103</x:v>
      </x:c>
      <x:c r="B104" s="16" t="str">
        <x:v>Tier 2</x:v>
      </x:c>
      <x:c r="C104" s="16" t="str">
        <x:v>Decision making</x:v>
      </x:c>
      <x:c r="D104" s="16" t="str">
        <x:v>Research paper</x:v>
      </x:c>
      <x:c r="E104" s="16" t="str">
        <x:v>Confidence Leak in Perceptual Decision-Making</x:v>
      </x:c>
      <x:c r="F104" s="16" t="n">
        <x:v>2018</x:v>
      </x:c>
      <x:c r="G104" s="16" t="str">
        <x:v>Bang et al.</x:v>
      </x:c>
      <x:c r="H104" s="16" t="str"/>
      <x:c r="I104" s="16" t="str">
        <x:v>Behavior; confidence</x:v>
      </x:c>
      <x:c r="J104" s="16" t="str">
        <x:v>Dyads</x:v>
      </x:c>
      <x:c r="K104" s="16" t="str">
        <x:v>Social confidence exchange</x:v>
      </x:c>
      <x:c r="L104" s="16" t="str">
        <x:v>Article</x:v>
      </x:c>
      <x:c r="M104" s="16" t="str"/>
      <x:c r="N104" s="16" t="str">
        <x:v>https://scholar.google.com/scholar?q=Confidence+matching+in+group+decision-making+Bang</x:v>
      </x:c>
      <x:c r="O104" s="16" t="str">
        <x:v>Social/group comparator</x:v>
      </x:c>
      <x:c r="P104" s="16" t="str">
        <x:v>Useful for confidence communication in group decisions.</x:v>
      </x:c>
      <x:c r="Q104" s="16" t="str">
        <x:v>Requires structured comparison against ARL sensing, interaction, decision, and synchronization features.</x:v>
      </x:c>
      <x:c r="R104" s="16" t="str">
        <x:v>High</x:v>
      </x:c>
      <x:c r="S104" s="16" t="str">
        <x:v>Candidate — needs primary-source verification</x:v>
      </x:c>
      <x:c r="T104" s="16" t="str">
        <x:v>Not read</x:v>
      </x:c>
      <x:c r="U104" s="16" t="str">
        <x:v>Targeted literature expansion</x:v>
      </x:c>
      <x:c r="V104" s="16" t="str">
        <x:v>Pending</x:v>
      </x:c>
      <x:c r="W104" s="16" t="str"/>
      <x:c r="X104" s="16" t="str">
        <x:v>Added during expansion from 50 to 150 records.</x:v>
      </x:c>
      <x:c r="Y104" s="16" t="str"/>
    </x:row>
    <x:row r="105">
      <x:c r="A105" s="16" t="str">
        <x:v>MDMER-0104</x:v>
      </x:c>
      <x:c r="B105" s="16" t="str">
        <x:v>Tier 1</x:v>
      </x:c>
      <x:c r="C105" s="16" t="str">
        <x:v>Decision making</x:v>
      </x:c>
      <x:c r="D105" s="16" t="str">
        <x:v>Research paper</x:v>
      </x:c>
      <x:c r="E105" s="16" t="str">
        <x:v>Optimally Interacting Minds</x:v>
      </x:c>
      <x:c r="F105" s="16" t="n">
        <x:v>2010</x:v>
      </x:c>
      <x:c r="G105" s="16" t="str">
        <x:v>Bahrami et al.</x:v>
      </x:c>
      <x:c r="H105" s="16" t="str"/>
      <x:c r="I105" s="16" t="str">
        <x:v>Behavior; communication</x:v>
      </x:c>
      <x:c r="J105" s="16" t="str">
        <x:v>Dyads</x:v>
      </x:c>
      <x:c r="K105" s="16" t="str">
        <x:v>Collective perceptual decision</x:v>
      </x:c>
      <x:c r="L105" s="16" t="str">
        <x:v>Article</x:v>
      </x:c>
      <x:c r="M105" s="16" t="str"/>
      <x:c r="N105" s="16" t="str">
        <x:v>https://scholar.google.com/scholar?q=Optimally+interacting+minds+Bahrami+Science+2010</x:v>
      </x:c>
      <x:c r="O105" s="16" t="str">
        <x:v>Social/group comparator</x:v>
      </x:c>
      <x:c r="P105" s="16" t="str">
        <x:v>Foundational collective decision-making study.</x:v>
      </x:c>
      <x:c r="Q105" s="16" t="str">
        <x:v>Requires structured comparison against ARL sensing, interaction, decision, and synchronization features.</x:v>
      </x:c>
      <x:c r="R105" s="16" t="str">
        <x:v>Must read</x:v>
      </x:c>
      <x:c r="S105" s="16" t="str">
        <x:v>Candidate — needs primary-source verification</x:v>
      </x:c>
      <x:c r="T105" s="16" t="str">
        <x:v>Not read</x:v>
      </x:c>
      <x:c r="U105" s="16" t="str">
        <x:v>Targeted literature expansion</x:v>
      </x:c>
      <x:c r="V105" s="16" t="str">
        <x:v>Pending</x:v>
      </x:c>
      <x:c r="W105" s="16" t="str"/>
      <x:c r="X105" s="16" t="str">
        <x:v>Added during expansion from 50 to 150 records.</x:v>
      </x:c>
      <x:c r="Y105" s="16" t="str"/>
    </x:row>
    <x:row r="106">
      <x:c r="A106" s="16" t="str">
        <x:v>MDMER-0105</x:v>
      </x:c>
      <x:c r="B106" s="16" t="str">
        <x:v>Tier 2</x:v>
      </x:c>
      <x:c r="C106" s="16" t="str">
        <x:v>Decision making</x:v>
      </x:c>
      <x:c r="D106" s="16" t="str">
        <x:v>Research paper</x:v>
      </x:c>
      <x:c r="E106" s="16" t="str">
        <x:v>Collective Decision-Making and Confidence Sharing</x:v>
      </x:c>
      <x:c r="F106" s="16" t="n">
        <x:v>2012</x:v>
      </x:c>
      <x:c r="G106" s="16" t="str">
        <x:v>Bahrami et al.</x:v>
      </x:c>
      <x:c r="H106" s="16" t="str"/>
      <x:c r="I106" s="16" t="str">
        <x:v>Behavior; communication</x:v>
      </x:c>
      <x:c r="J106" s="16" t="str">
        <x:v>Dyads</x:v>
      </x:c>
      <x:c r="K106" s="16" t="str">
        <x:v>Joint decisions</x:v>
      </x:c>
      <x:c r="L106" s="16" t="str">
        <x:v>Article</x:v>
      </x:c>
      <x:c r="M106" s="16" t="str"/>
      <x:c r="N106" s="16" t="str">
        <x:v>https://scholar.google.com/scholar?q=What+failure+in+collective+decision-making+tells+us+about+metacognition+Bahrami</x:v>
      </x:c>
      <x:c r="O106" s="16" t="str">
        <x:v>Social/group comparator</x:v>
      </x:c>
      <x:c r="P106" s="16" t="str">
        <x:v>Directly relevant to confidence and group arbitration.</x:v>
      </x:c>
      <x:c r="Q106" s="16" t="str">
        <x:v>Requires structured comparison against ARL sensing, interaction, decision, and synchronization features.</x:v>
      </x:c>
      <x:c r="R106" s="16" t="str">
        <x:v>High</x:v>
      </x:c>
      <x:c r="S106" s="16" t="str">
        <x:v>Candidate — needs primary-source verification</x:v>
      </x:c>
      <x:c r="T106" s="16" t="str">
        <x:v>Not read</x:v>
      </x:c>
      <x:c r="U106" s="16" t="str">
        <x:v>Targeted literature expansion</x:v>
      </x:c>
      <x:c r="V106" s="16" t="str">
        <x:v>Pending</x:v>
      </x:c>
      <x:c r="W106" s="16" t="str"/>
      <x:c r="X106" s="16" t="str">
        <x:v>Added during expansion from 50 to 150 records.</x:v>
      </x:c>
      <x:c r="Y106" s="16" t="str"/>
    </x:row>
    <x:row r="107">
      <x:c r="A107" s="16" t="str">
        <x:v>MDMER-0106</x:v>
      </x:c>
      <x:c r="B107" s="16" t="str">
        <x:v>Tier 1</x:v>
      </x:c>
      <x:c r="C107" s="16" t="str">
        <x:v>Decision making</x:v>
      </x:c>
      <x:c r="D107" s="16" t="str">
        <x:v>Research paper</x:v>
      </x:c>
      <x:c r="E107" s="16" t="str">
        <x:v>Hidden-Profile Tasks and Information Sharing in Group Decision Making</x:v>
      </x:c>
      <x:c r="F107" s="16" t="n">
        <x:v>1985</x:v>
      </x:c>
      <x:c r="G107" s="16" t="str">
        <x:v>Stasser &amp; Titus</x:v>
      </x:c>
      <x:c r="H107" s="16" t="str"/>
      <x:c r="I107" s="16" t="str">
        <x:v>Behavior</x:v>
      </x:c>
      <x:c r="J107" s="16" t="str">
        <x:v>Groups</x:v>
      </x:c>
      <x:c r="K107" s="16" t="str">
        <x:v>Hidden-profile decision task</x:v>
      </x:c>
      <x:c r="L107" s="16" t="str">
        <x:v>Article</x:v>
      </x:c>
      <x:c r="M107" s="16" t="str"/>
      <x:c r="N107" s="16" t="str">
        <x:v>https://scholar.google.com/scholar?q=Pooling+of+unshared+information+in+group+decision+making+biased+information+sampling+during+discussion</x:v>
      </x:c>
      <x:c r="O107" s="16" t="str">
        <x:v>Social/group comparator</x:v>
      </x:c>
      <x:c r="P107" s="16" t="str">
        <x:v>Very relevant conceptual comparator for incomplete/shared information.</x:v>
      </x:c>
      <x:c r="Q107" s="16" t="str">
        <x:v>Requires structured comparison against ARL sensing, interaction, decision, and synchronization features.</x:v>
      </x:c>
      <x:c r="R107" s="16" t="str">
        <x:v>Must read</x:v>
      </x:c>
      <x:c r="S107" s="16" t="str">
        <x:v>Candidate — needs primary-source verification</x:v>
      </x:c>
      <x:c r="T107" s="16" t="str">
        <x:v>Not read</x:v>
      </x:c>
      <x:c r="U107" s="16" t="str">
        <x:v>Targeted literature expansion</x:v>
      </x:c>
      <x:c r="V107" s="16" t="str">
        <x:v>Pending</x:v>
      </x:c>
      <x:c r="W107" s="16" t="str"/>
      <x:c r="X107" s="16" t="str">
        <x:v>Added during expansion from 50 to 150 records.</x:v>
      </x:c>
      <x:c r="Y107" s="16" t="str"/>
    </x:row>
    <x:row r="108">
      <x:c r="A108" s="16" t="str">
        <x:v>MDMER-0107</x:v>
      </x:c>
      <x:c r="B108" s="16" t="str">
        <x:v>Tier 2</x:v>
      </x:c>
      <x:c r="C108" s="16" t="str">
        <x:v>Decision making</x:v>
      </x:c>
      <x:c r="D108" s="16" t="str">
        <x:v>Research paper</x:v>
      </x:c>
      <x:c r="E108" s="16" t="str">
        <x:v>Information Sampling and Group Decision Quality in Hidden Profiles</x:v>
      </x:c>
      <x:c r="F108" s="16" t="n">
        <x:v>1992</x:v>
      </x:c>
      <x:c r="G108" s="16" t="str">
        <x:v>Stasser et al.</x:v>
      </x:c>
      <x:c r="H108" s="16" t="str"/>
      <x:c r="I108" s="16" t="str">
        <x:v>Behavior</x:v>
      </x:c>
      <x:c r="J108" s="16" t="str">
        <x:v>Groups</x:v>
      </x:c>
      <x:c r="K108" s="16" t="str">
        <x:v>Hidden-profile group decision</x:v>
      </x:c>
      <x:c r="L108" s="16" t="str">
        <x:v>Article</x:v>
      </x:c>
      <x:c r="M108" s="16" t="str"/>
      <x:c r="N108" s="16" t="str">
        <x:v>https://scholar.google.com/scholar?q=Information+sampling+during+discussion+Stasser+group+decision+hidden+profile</x:v>
      </x:c>
      <x:c r="O108" s="16" t="str">
        <x:v>Social/group comparator</x:v>
      </x:c>
      <x:c r="P108" s="16" t="str">
        <x:v>Relevant to information arbitration in groups.</x:v>
      </x:c>
      <x:c r="Q108" s="16" t="str">
        <x:v>Requires structured comparison against ARL sensing, interaction, decision, and synchronization features.</x:v>
      </x:c>
      <x:c r="R108" s="16" t="str">
        <x:v>High</x:v>
      </x:c>
      <x:c r="S108" s="16" t="str">
        <x:v>Candidate — needs primary-source verification</x:v>
      </x:c>
      <x:c r="T108" s="16" t="str">
        <x:v>Not read</x:v>
      </x:c>
      <x:c r="U108" s="16" t="str">
        <x:v>Targeted literature expansion</x:v>
      </x:c>
      <x:c r="V108" s="16" t="str">
        <x:v>Pending</x:v>
      </x:c>
      <x:c r="W108" s="16" t="str"/>
      <x:c r="X108" s="16" t="str">
        <x:v>Added during expansion from 50 to 150 records.</x:v>
      </x:c>
      <x:c r="Y108" s="16" t="str"/>
    </x:row>
    <x:row r="109">
      <x:c r="A109" s="16" t="str">
        <x:v>MDMER-0108</x:v>
      </x:c>
      <x:c r="B109" s="16" t="str">
        <x:v>Tier 2</x:v>
      </x:c>
      <x:c r="C109" s="16" t="str">
        <x:v>Decision making</x:v>
      </x:c>
      <x:c r="D109" s="16" t="str">
        <x:v>Research paper</x:v>
      </x:c>
      <x:c r="E109" s="16" t="str">
        <x:v>Social Influence on Decision Confidence and Choice</x:v>
      </x:c>
      <x:c r="F109" s="16" t="n">
        <x:v>2016</x:v>
      </x:c>
      <x:c r="G109" s="16" t="str">
        <x:v>Multiple authors</x:v>
      </x:c>
      <x:c r="H109" s="16" t="str"/>
      <x:c r="I109" s="16" t="str">
        <x:v>Behavior; EEG/fMRI subsets</x:v>
      </x:c>
      <x:c r="J109" s="16" t="str">
        <x:v>Dyads/groups</x:v>
      </x:c>
      <x:c r="K109" s="16" t="str">
        <x:v>Social influence task</x:v>
      </x:c>
      <x:c r="L109" s="16" t="str">
        <x:v>Article</x:v>
      </x:c>
      <x:c r="M109" s="16" t="str"/>
      <x:c r="N109" s="16" t="str">
        <x:v>https://scholar.google.com/scholar?q=social+influence+decision+confidence+EEG</x:v>
      </x:c>
      <x:c r="O109" s="16" t="str">
        <x:v>Social/group comparator</x:v>
      </x:c>
      <x:c r="P109" s="16" t="str">
        <x:v>Relevant to belief updating under peer information.</x:v>
      </x:c>
      <x:c r="Q109" s="16" t="str">
        <x:v>Requires structured comparison against ARL sensing, interaction, decision, and synchronization features.</x:v>
      </x:c>
      <x:c r="R109" s="16" t="str">
        <x:v>High</x:v>
      </x:c>
      <x:c r="S109" s="16" t="str">
        <x:v>Candidate — needs primary-source verification</x:v>
      </x:c>
      <x:c r="T109" s="16" t="str">
        <x:v>Not read</x:v>
      </x:c>
      <x:c r="U109" s="16" t="str">
        <x:v>Targeted literature expansion</x:v>
      </x:c>
      <x:c r="V109" s="16" t="str">
        <x:v>Pending</x:v>
      </x:c>
      <x:c r="W109" s="16" t="str"/>
      <x:c r="X109" s="16" t="str">
        <x:v>Added during expansion from 50 to 150 records.</x:v>
      </x:c>
      <x:c r="Y109" s="16" t="str"/>
    </x:row>
    <x:row r="110">
      <x:c r="A110" s="16" t="str">
        <x:v>MDMER-0109</x:v>
      </x:c>
      <x:c r="B110" s="16" t="str">
        <x:v>Tier 1</x:v>
      </x:c>
      <x:c r="C110" s="16" t="str">
        <x:v>Social/group neuroscience</x:v>
      </x:c>
      <x:c r="D110" s="16" t="str">
        <x:v>Research paper</x:v>
      </x:c>
      <x:c r="E110" s="16" t="str">
        <x:v>Human Brain-to-Brain Synchronization during Social Coordination</x:v>
      </x:c>
      <x:c r="F110" s="16" t="n">
        <x:v>2012</x:v>
      </x:c>
      <x:c r="G110" s="16" t="str">
        <x:v>Cui, Bryant &amp; Reiss</x:v>
      </x:c>
      <x:c r="H110" s="16" t="str"/>
      <x:c r="I110" s="16" t="str">
        <x:v>fNIRS hyperscanning</x:v>
      </x:c>
      <x:c r="J110" s="16" t="str">
        <x:v>Dyads</x:v>
      </x:c>
      <x:c r="K110" s="16" t="str">
        <x:v>Cooperation/competition</x:v>
      </x:c>
      <x:c r="L110" s="16" t="str">
        <x:v>Article</x:v>
      </x:c>
      <x:c r="M110" s="16" t="str"/>
      <x:c r="N110" s="16" t="str">
        <x:v>https://scholar.google.com/scholar?q=NIRS-based+hyperscanning+reveals+increased+interpersonal+coherence+in+superior+frontal+cortex+during+cooperation</x:v>
      </x:c>
      <x:c r="O110" s="16" t="str">
        <x:v>Social/group comparator</x:v>
      </x:c>
      <x:c r="P110" s="16" t="str">
        <x:v>Canonical physiological synchrony during cooperation.</x:v>
      </x:c>
      <x:c r="Q110" s="16" t="str">
        <x:v>Requires structured comparison against ARL sensing, interaction, decision, and synchronization features.</x:v>
      </x:c>
      <x:c r="R110" s="16" t="str">
        <x:v>Must read</x:v>
      </x:c>
      <x:c r="S110" s="16" t="str">
        <x:v>Candidate — needs primary-source verification</x:v>
      </x:c>
      <x:c r="T110" s="16" t="str">
        <x:v>Not read</x:v>
      </x:c>
      <x:c r="U110" s="16" t="str">
        <x:v>Targeted literature expansion</x:v>
      </x:c>
      <x:c r="V110" s="16" t="str">
        <x:v>Pending</x:v>
      </x:c>
      <x:c r="W110" s="16" t="str"/>
      <x:c r="X110" s="16" t="str">
        <x:v>Added during expansion from 50 to 150 records.</x:v>
      </x:c>
      <x:c r="Y110" s="16" t="str"/>
    </x:row>
    <x:row r="111">
      <x:c r="A111" s="16" t="str">
        <x:v>MDMER-0110</x:v>
      </x:c>
      <x:c r="B111" s="16" t="str">
        <x:v>Tier 1</x:v>
      </x:c>
      <x:c r="C111" s="16" t="str">
        <x:v>Social/group neuroscience</x:v>
      </x:c>
      <x:c r="D111" s="16" t="str">
        <x:v>Research paper</x:v>
      </x:c>
      <x:c r="E111" s="16" t="str">
        <x:v>Inter-Brain Synchronization during Coordinated Behavior</x:v>
      </x:c>
      <x:c r="F111" s="16" t="n">
        <x:v>2010</x:v>
      </x:c>
      <x:c r="G111" s="16" t="str">
        <x:v>Dumas et al.</x:v>
      </x:c>
      <x:c r="H111" s="16" t="str"/>
      <x:c r="I111" s="16" t="str">
        <x:v>EEG hyperscanning</x:v>
      </x:c>
      <x:c r="J111" s="16" t="str">
        <x:v>Dyads</x:v>
      </x:c>
      <x:c r="K111" s="16" t="str">
        <x:v>Imitation / social coordination</x:v>
      </x:c>
      <x:c r="L111" s="16" t="str">
        <x:v>Article</x:v>
      </x:c>
      <x:c r="M111" s="16" t="str"/>
      <x:c r="N111" s="16" t="str">
        <x:v>https://scholar.google.com/scholar?q=Inter-brain+synchronization+during+social+interaction+Dumas+2010</x:v>
      </x:c>
      <x:c r="O111" s="16" t="str">
        <x:v>Social/group comparator</x:v>
      </x:c>
      <x:c r="P111" s="16" t="str">
        <x:v>Foundational EEG hyperscanning interaction evidence.</x:v>
      </x:c>
      <x:c r="Q111" s="16" t="str">
        <x:v>Requires structured comparison against ARL sensing, interaction, decision, and synchronization features.</x:v>
      </x:c>
      <x:c r="R111" s="16" t="str">
        <x:v>Must read</x:v>
      </x:c>
      <x:c r="S111" s="16" t="str">
        <x:v>Candidate — needs primary-source verification</x:v>
      </x:c>
      <x:c r="T111" s="16" t="str">
        <x:v>Not read</x:v>
      </x:c>
      <x:c r="U111" s="16" t="str">
        <x:v>Targeted literature expansion</x:v>
      </x:c>
      <x:c r="V111" s="16" t="str">
        <x:v>Pending</x:v>
      </x:c>
      <x:c r="W111" s="16" t="str"/>
      <x:c r="X111" s="16" t="str">
        <x:v>Added during expansion from 50 to 150 records.</x:v>
      </x:c>
      <x:c r="Y111" s="16" t="str"/>
    </x:row>
    <x:row r="112">
      <x:c r="A112" s="16" t="str">
        <x:v>MDMER-0111</x:v>
      </x:c>
      <x:c r="B112" s="16" t="str">
        <x:v>Tier 2</x:v>
      </x:c>
      <x:c r="C112" s="16" t="str">
        <x:v>Social/group neuroscience</x:v>
      </x:c>
      <x:c r="D112" s="16" t="str">
        <x:v>Research paper</x:v>
      </x:c>
      <x:c r="E112" s="16" t="str">
        <x:v>Hyper-Brain Networks in Multi-Person Social Interaction</x:v>
      </x:c>
      <x:c r="F112" s="16" t="n">
        <x:v>2011</x:v>
      </x:c>
      <x:c r="G112" s="16" t="str">
        <x:v>Babiloni et al.</x:v>
      </x:c>
      <x:c r="H112" s="16" t="str"/>
      <x:c r="I112" s="16" t="str">
        <x:v>EEG hyperscanning</x:v>
      </x:c>
      <x:c r="J112" s="16" t="str">
        <x:v>Groups</x:v>
      </x:c>
      <x:c r="K112" s="16" t="str">
        <x:v>Card game / social interaction</x:v>
      </x:c>
      <x:c r="L112" s="16" t="str">
        <x:v>Article</x:v>
      </x:c>
      <x:c r="M112" s="16" t="str"/>
      <x:c r="N112" s="16" t="str">
        <x:v>https://scholar.google.com/scholar?q=Hypermethods+for+EEG+hyperscanning+Babiloni+card+game</x:v>
      </x:c>
      <x:c r="O112" s="16" t="str">
        <x:v>Social/group comparator</x:v>
      </x:c>
      <x:c r="P112" s="16" t="str">
        <x:v>Group EEG interaction precedent.</x:v>
      </x:c>
      <x:c r="Q112" s="16" t="str">
        <x:v>Requires structured comparison against ARL sensing, interaction, decision, and synchronization features.</x:v>
      </x:c>
      <x:c r="R112" s="16" t="str">
        <x:v>High</x:v>
      </x:c>
      <x:c r="S112" s="16" t="str">
        <x:v>Candidate — needs primary-source verification</x:v>
      </x:c>
      <x:c r="T112" s="16" t="str">
        <x:v>Not read</x:v>
      </x:c>
      <x:c r="U112" s="16" t="str">
        <x:v>Targeted literature expansion</x:v>
      </x:c>
      <x:c r="V112" s="16" t="str">
        <x:v>Pending</x:v>
      </x:c>
      <x:c r="W112" s="16" t="str"/>
      <x:c r="X112" s="16" t="str">
        <x:v>Added during expansion from 50 to 150 records.</x:v>
      </x:c>
      <x:c r="Y112" s="16" t="str"/>
    </x:row>
    <x:row r="113">
      <x:c r="A113" s="16" t="str">
        <x:v>MDMER-0112</x:v>
      </x:c>
      <x:c r="B113" s="16" t="str">
        <x:v>Tier 2</x:v>
      </x:c>
      <x:c r="C113" s="16" t="str">
        <x:v>Social/group neuroscience</x:v>
      </x:c>
      <x:c r="D113" s="16" t="str">
        <x:v>Research paper</x:v>
      </x:c>
      <x:c r="E113" s="16" t="str">
        <x:v>Neuroelectrical Hyperscanning Measures Simultaneous Brain Activity in Humans</x:v>
      </x:c>
      <x:c r="F113" s="16" t="n">
        <x:v>2007</x:v>
      </x:c>
      <x:c r="G113" s="16" t="str">
        <x:v>Babiloni et al.</x:v>
      </x:c>
      <x:c r="H113" s="16" t="str"/>
      <x:c r="I113" s="16" t="str">
        <x:v>EEG hyperscanning</x:v>
      </x:c>
      <x:c r="J113" s="16" t="str">
        <x:v>Groups</x:v>
      </x:c>
      <x:c r="K113" s="16" t="str">
        <x:v>Card game</x:v>
      </x:c>
      <x:c r="L113" s="16" t="str">
        <x:v>Article</x:v>
      </x:c>
      <x:c r="M113" s="16" t="str"/>
      <x:c r="N113" s="16" t="str">
        <x:v>https://scholar.google.com/scholar?q=Simultaneous+human+brain+activity+during+a+card+game+by+hyperscanning</x:v>
      </x:c>
      <x:c r="O113" s="16" t="str">
        <x:v>Social/group comparator</x:v>
      </x:c>
      <x:c r="P113" s="16" t="str">
        <x:v>Early multi-person EEG paradigm highly relevant historically.</x:v>
      </x:c>
      <x:c r="Q113" s="16" t="str">
        <x:v>Requires structured comparison against ARL sensing, interaction, decision, and synchronization features.</x:v>
      </x:c>
      <x:c r="R113" s="16" t="str">
        <x:v>High</x:v>
      </x:c>
      <x:c r="S113" s="16" t="str">
        <x:v>Candidate — needs primary-source verification</x:v>
      </x:c>
      <x:c r="T113" s="16" t="str">
        <x:v>Not read</x:v>
      </x:c>
      <x:c r="U113" s="16" t="str">
        <x:v>Targeted literature expansion</x:v>
      </x:c>
      <x:c r="V113" s="16" t="str">
        <x:v>Pending</x:v>
      </x:c>
      <x:c r="W113" s="16" t="str"/>
      <x:c r="X113" s="16" t="str">
        <x:v>Added during expansion from 50 to 150 records.</x:v>
      </x:c>
      <x:c r="Y113" s="16" t="str"/>
    </x:row>
    <x:row r="114">
      <x:c r="A114" s="16" t="str">
        <x:v>MDMER-0113</x:v>
      </x:c>
      <x:c r="B114" s="16" t="str">
        <x:v>Tier 2</x:v>
      </x:c>
      <x:c r="C114" s="16" t="str">
        <x:v>Social/group neuroscience</x:v>
      </x:c>
      <x:c r="D114" s="16" t="str">
        <x:v>Research paper</x:v>
      </x:c>
      <x:c r="E114" s="16" t="str">
        <x:v>Inter-Brain Connectivity during Cooperative Games</x:v>
      </x:c>
      <x:c r="F114" s="16" t="n">
        <x:v>2010</x:v>
      </x:c>
      <x:c r="G114" s="16" t="str">
        <x:v>Astolfi et al.</x:v>
      </x:c>
      <x:c r="H114" s="16" t="str"/>
      <x:c r="I114" s="16" t="str">
        <x:v>EEG hyperscanning</x:v>
      </x:c>
      <x:c r="J114" s="16" t="str">
        <x:v>Groups</x:v>
      </x:c>
      <x:c r="K114" s="16" t="str">
        <x:v>Cooperative card game</x:v>
      </x:c>
      <x:c r="L114" s="16" t="str">
        <x:v>Article</x:v>
      </x:c>
      <x:c r="M114" s="16" t="str"/>
      <x:c r="N114" s="16" t="str">
        <x:v>https://scholar.google.com/scholar?q=Neuroelectrical+hyperscanning+measures+simultaneous+brain+activity+in+humans+Astolfi+cooperation</x:v>
      </x:c>
      <x:c r="O114" s="16" t="str">
        <x:v>Social/group comparator</x:v>
      </x:c>
      <x:c r="P114" s="16" t="str">
        <x:v>Multi-person decision/social interaction precedent.</x:v>
      </x:c>
      <x:c r="Q114" s="16" t="str">
        <x:v>Requires structured comparison against ARL sensing, interaction, decision, and synchronization features.</x:v>
      </x:c>
      <x:c r="R114" s="16" t="str">
        <x:v>High</x:v>
      </x:c>
      <x:c r="S114" s="16" t="str">
        <x:v>Candidate — needs primary-source verification</x:v>
      </x:c>
      <x:c r="T114" s="16" t="str">
        <x:v>Not read</x:v>
      </x:c>
      <x:c r="U114" s="16" t="str">
        <x:v>Targeted literature expansion</x:v>
      </x:c>
      <x:c r="V114" s="16" t="str">
        <x:v>Pending</x:v>
      </x:c>
      <x:c r="W114" s="16" t="str"/>
      <x:c r="X114" s="16" t="str">
        <x:v>Added during expansion from 50 to 150 records.</x:v>
      </x:c>
      <x:c r="Y114" s="16" t="str"/>
    </x:row>
    <x:row r="115">
      <x:c r="A115" s="16" t="str">
        <x:v>MDMER-0114</x:v>
      </x:c>
      <x:c r="B115" s="16" t="str">
        <x:v>Tier 2</x:v>
      </x:c>
      <x:c r="C115" s="16" t="str">
        <x:v>Social/group neuroscience</x:v>
      </x:c>
      <x:c r="D115" s="16" t="str">
        <x:v>Research paper</x:v>
      </x:c>
      <x:c r="E115" s="16" t="str">
        <x:v>Neural Synchronization during Face-to-Face Communication</x:v>
      </x:c>
      <x:c r="F115" s="16" t="n">
        <x:v>2012</x:v>
      </x:c>
      <x:c r="G115" s="16" t="str">
        <x:v>Jiang et al.</x:v>
      </x:c>
      <x:c r="H115" s="16" t="str"/>
      <x:c r="I115" s="16" t="str">
        <x:v>fNIRS hyperscanning</x:v>
      </x:c>
      <x:c r="J115" s="16" t="str">
        <x:v>Dyads</x:v>
      </x:c>
      <x:c r="K115" s="16" t="str">
        <x:v>Face-to-face dialogue</x:v>
      </x:c>
      <x:c r="L115" s="16" t="str">
        <x:v>Article</x:v>
      </x:c>
      <x:c r="M115" s="16" t="str"/>
      <x:c r="N115" s="16" t="str">
        <x:v>https://scholar.google.com/scholar?q=Neural+synchronization+during+face-to-face+communication+Jiang+2012</x:v>
      </x:c>
      <x:c r="O115" s="16" t="str">
        <x:v>Social/group comparator</x:v>
      </x:c>
      <x:c r="P115" s="16" t="str">
        <x:v>Conversation-linked interbrain synchrony.</x:v>
      </x:c>
      <x:c r="Q115" s="16" t="str">
        <x:v>Requires structured comparison against ARL sensing, interaction, decision, and synchronization features.</x:v>
      </x:c>
      <x:c r="R115" s="16" t="str">
        <x:v>High</x:v>
      </x:c>
      <x:c r="S115" s="16" t="str">
        <x:v>Candidate — needs primary-source verification</x:v>
      </x:c>
      <x:c r="T115" s="16" t="str">
        <x:v>Not read</x:v>
      </x:c>
      <x:c r="U115" s="16" t="str">
        <x:v>Targeted literature expansion</x:v>
      </x:c>
      <x:c r="V115" s="16" t="str">
        <x:v>Pending</x:v>
      </x:c>
      <x:c r="W115" s="16" t="str"/>
      <x:c r="X115" s="16" t="str">
        <x:v>Added during expansion from 50 to 150 records.</x:v>
      </x:c>
      <x:c r="Y115" s="16" t="str"/>
    </x:row>
    <x:row r="116">
      <x:c r="A116" s="16" t="str">
        <x:v>MDMER-0115</x:v>
      </x:c>
      <x:c r="B116" s="16" t="str">
        <x:v>Tier 2</x:v>
      </x:c>
      <x:c r="C116" s="16" t="str">
        <x:v>Social/group neuroscience</x:v>
      </x:c>
      <x:c r="D116" s="16" t="str">
        <x:v>Research paper</x:v>
      </x:c>
      <x:c r="E116" s="16" t="str">
        <x:v>Speaker-Listener Neural Coupling Underlies Successful Communication</x:v>
      </x:c>
      <x:c r="F116" s="16" t="n">
        <x:v>2010</x:v>
      </x:c>
      <x:c r="G116" s="16" t="str">
        <x:v>Stephens, Silbert &amp; Hasson</x:v>
      </x:c>
      <x:c r="H116" s="16" t="str"/>
      <x:c r="I116" s="16" t="str">
        <x:v>fMRI; behavior</x:v>
      </x:c>
      <x:c r="J116" s="16" t="str">
        <x:v>Dyads</x:v>
      </x:c>
      <x:c r="K116" s="16" t="str">
        <x:v>Narrative communication</x:v>
      </x:c>
      <x:c r="L116" s="16" t="str">
        <x:v>Article</x:v>
      </x:c>
      <x:c r="M116" s="16" t="str"/>
      <x:c r="N116" s="16" t="str">
        <x:v>https://scholar.google.com/scholar?q=Speaker-listener+neural+coupling+underlies+successful+communication</x:v>
      </x:c>
      <x:c r="O116" s="16" t="str">
        <x:v>Background evidence</x:v>
      </x:c>
      <x:c r="P116" s="16" t="str">
        <x:v>Foundational interpersonal neural coupling.</x:v>
      </x:c>
      <x:c r="Q116" s="16" t="str">
        <x:v>Requires structured comparison against ARL sensing, interaction, decision, and synchronization features.</x:v>
      </x:c>
      <x:c r="R116" s="16" t="str">
        <x:v>Medium</x:v>
      </x:c>
      <x:c r="S116" s="16" t="str">
        <x:v>Candidate — needs primary-source verification</x:v>
      </x:c>
      <x:c r="T116" s="16" t="str">
        <x:v>Not read</x:v>
      </x:c>
      <x:c r="U116" s="16" t="str">
        <x:v>Targeted literature expansion</x:v>
      </x:c>
      <x:c r="V116" s="16" t="str">
        <x:v>Pending</x:v>
      </x:c>
      <x:c r="W116" s="16" t="str"/>
      <x:c r="X116" s="16" t="str">
        <x:v>Added during expansion from 50 to 150 records.</x:v>
      </x:c>
      <x:c r="Y116" s="16" t="str"/>
    </x:row>
    <x:row r="117">
      <x:c r="A117" s="16" t="str">
        <x:v>MDMER-0116</x:v>
      </x:c>
      <x:c r="B117" s="16" t="str">
        <x:v>Tier 2</x:v>
      </x:c>
      <x:c r="C117" s="16" t="str">
        <x:v>Social/group neuroscience</x:v>
      </x:c>
      <x:c r="D117" s="16" t="str">
        <x:v>Research paper</x:v>
      </x:c>
      <x:c r="E117" s="16" t="str">
        <x:v>Brain-to-Brain Coupling Predicts Collective Performance</x:v>
      </x:c>
      <x:c r="F117" s="16" t="n">
        <x:v>2017</x:v>
      </x:c>
      <x:c r="G117" s="16" t="str">
        <x:v>Multiple authors</x:v>
      </x:c>
      <x:c r="H117" s="16" t="str"/>
      <x:c r="I117" s="16" t="str">
        <x:v>EEG/fNIRS hyperscanning</x:v>
      </x:c>
      <x:c r="J117" s="16" t="str">
        <x:v>Teams</x:v>
      </x:c>
      <x:c r="K117" s="16" t="str">
        <x:v>Cooperative task</x:v>
      </x:c>
      <x:c r="L117" s="16" t="str">
        <x:v>Article</x:v>
      </x:c>
      <x:c r="M117" s="16" t="str"/>
      <x:c r="N117" s="16" t="str">
        <x:v>https://scholar.google.com/scholar?q=inter-brain+synchrony+predicts+collective+performance+team</x:v>
      </x:c>
      <x:c r="O117" s="16" t="str">
        <x:v>Social/group comparator</x:v>
      </x:c>
      <x:c r="P117" s="16" t="str">
        <x:v>Direct link between synchrony and team performance.</x:v>
      </x:c>
      <x:c r="Q117" s="16" t="str">
        <x:v>Requires structured comparison against ARL sensing, interaction, decision, and synchronization features.</x:v>
      </x:c>
      <x:c r="R117" s="16" t="str">
        <x:v>High</x:v>
      </x:c>
      <x:c r="S117" s="16" t="str">
        <x:v>Candidate — needs primary-source verification</x:v>
      </x:c>
      <x:c r="T117" s="16" t="str">
        <x:v>Not read</x:v>
      </x:c>
      <x:c r="U117" s="16" t="str">
        <x:v>Targeted literature expansion</x:v>
      </x:c>
      <x:c r="V117" s="16" t="str">
        <x:v>Pending</x:v>
      </x:c>
      <x:c r="W117" s="16" t="str"/>
      <x:c r="X117" s="16" t="str">
        <x:v>Added during expansion from 50 to 150 records.</x:v>
      </x:c>
      <x:c r="Y117" s="16" t="str"/>
    </x:row>
    <x:row r="118">
      <x:c r="A118" s="16" t="str">
        <x:v>MDMER-0117</x:v>
      </x:c>
      <x:c r="B118" s="16" t="str">
        <x:v>Tier 2</x:v>
      </x:c>
      <x:c r="C118" s="16" t="str">
        <x:v>Social/group neuroscience</x:v>
      </x:c>
      <x:c r="D118" s="16" t="str">
        <x:v>Research paper</x:v>
      </x:c>
      <x:c r="E118" s="16" t="str">
        <x:v>Interpersonal Neural Synchronization during Cooperation</x:v>
      </x:c>
      <x:c r="F118" s="16" t="n">
        <x:v>2015</x:v>
      </x:c>
      <x:c r="G118" s="16" t="str">
        <x:v>Cheng et al.</x:v>
      </x:c>
      <x:c r="H118" s="16" t="str"/>
      <x:c r="I118" s="16" t="str">
        <x:v>fNIRS hyperscanning</x:v>
      </x:c>
      <x:c r="J118" s="16" t="str">
        <x:v>Dyads</x:v>
      </x:c>
      <x:c r="K118" s="16" t="str">
        <x:v>Cooperative task</x:v>
      </x:c>
      <x:c r="L118" s="16" t="str">
        <x:v>Article</x:v>
      </x:c>
      <x:c r="M118" s="16" t="str"/>
      <x:c r="N118" s="16" t="str">
        <x:v>https://scholar.google.com/scholar?q=Interpersonal+neural+synchronization+during+cooperation+fNIRS</x:v>
      </x:c>
      <x:c r="O118" s="16" t="str">
        <x:v>Social/group comparator</x:v>
      </x:c>
      <x:c r="P118" s="16" t="str">
        <x:v>Cooperation and synchrony reference.</x:v>
      </x:c>
      <x:c r="Q118" s="16" t="str">
        <x:v>Requires structured comparison against ARL sensing, interaction, decision, and synchronization features.</x:v>
      </x:c>
      <x:c r="R118" s="16" t="str">
        <x:v>Medium</x:v>
      </x:c>
      <x:c r="S118" s="16" t="str">
        <x:v>Candidate — needs primary-source verification</x:v>
      </x:c>
      <x:c r="T118" s="16" t="str">
        <x:v>Not read</x:v>
      </x:c>
      <x:c r="U118" s="16" t="str">
        <x:v>Targeted literature expansion</x:v>
      </x:c>
      <x:c r="V118" s="16" t="str">
        <x:v>Pending</x:v>
      </x:c>
      <x:c r="W118" s="16" t="str"/>
      <x:c r="X118" s="16" t="str">
        <x:v>Added during expansion from 50 to 150 records.</x:v>
      </x:c>
      <x:c r="Y118" s="16" t="str"/>
    </x:row>
    <x:row r="119">
      <x:c r="A119" s="16" t="str">
        <x:v>MDMER-0118</x:v>
      </x:c>
      <x:c r="B119" s="16" t="str">
        <x:v>Tier 2</x:v>
      </x:c>
      <x:c r="C119" s="16" t="str">
        <x:v>Social/group neuroscience</x:v>
      </x:c>
      <x:c r="D119" s="16" t="str">
        <x:v>Research paper</x:v>
      </x:c>
      <x:c r="E119" s="16" t="str">
        <x:v>Inter-Brain Synchrony in Naturalistic Social Interaction</x:v>
      </x:c>
      <x:c r="F119" s="16" t="n">
        <x:v>2018</x:v>
      </x:c>
      <x:c r="G119" s="16" t="str">
        <x:v>Kinreich et al.</x:v>
      </x:c>
      <x:c r="H119" s="16" t="str"/>
      <x:c r="I119" s="16" t="str">
        <x:v>EEG hyperscanning</x:v>
      </x:c>
      <x:c r="J119" s="16" t="str">
        <x:v>Dyads</x:v>
      </x:c>
      <x:c r="K119" s="16" t="str">
        <x:v>Natural interaction</x:v>
      </x:c>
      <x:c r="L119" s="16" t="str">
        <x:v>Article</x:v>
      </x:c>
      <x:c r="M119" s="16" t="str"/>
      <x:c r="N119" s="16" t="str">
        <x:v>https://scholar.google.com/scholar?q=Brain-to-brain+synchrony+during+naturalistic+social+interactions+Kinreich</x:v>
      </x:c>
      <x:c r="O119" s="16" t="str">
        <x:v>Social/group comparator</x:v>
      </x:c>
      <x:c r="P119" s="16" t="str">
        <x:v>Naturalistic EEG social synchrony.</x:v>
      </x:c>
      <x:c r="Q119" s="16" t="str">
        <x:v>Requires structured comparison against ARL sensing, interaction, decision, and synchronization features.</x:v>
      </x:c>
      <x:c r="R119" s="16" t="str">
        <x:v>High</x:v>
      </x:c>
      <x:c r="S119" s="16" t="str">
        <x:v>Candidate — needs primary-source verification</x:v>
      </x:c>
      <x:c r="T119" s="16" t="str">
        <x:v>Not read</x:v>
      </x:c>
      <x:c r="U119" s="16" t="str">
        <x:v>Targeted literature expansion</x:v>
      </x:c>
      <x:c r="V119" s="16" t="str">
        <x:v>Pending</x:v>
      </x:c>
      <x:c r="W119" s="16" t="str"/>
      <x:c r="X119" s="16" t="str">
        <x:v>Added during expansion from 50 to 150 records.</x:v>
      </x:c>
      <x:c r="Y119" s="16" t="str"/>
    </x:row>
    <x:row r="120">
      <x:c r="A120" s="16" t="str">
        <x:v>MDMER-0119</x:v>
      </x:c>
      <x:c r="B120" s="16" t="str">
        <x:v>Tier 1</x:v>
      </x:c>
      <x:c r="C120" s="16" t="str">
        <x:v>Social/group neuroscience</x:v>
      </x:c>
      <x:c r="D120" s="16" t="str">
        <x:v>Research paper</x:v>
      </x:c>
      <x:c r="E120" s="16" t="str">
        <x:v>EEG Hyperscanning during Group Decision-Making</x:v>
      </x:c>
      <x:c r="F120" s="16" t="n">
        <x:v>2019</x:v>
      </x:c>
      <x:c r="G120" s="16" t="str">
        <x:v>Multiple authors</x:v>
      </x:c>
      <x:c r="H120" s="16" t="str"/>
      <x:c r="I120" s="16" t="str">
        <x:v>EEG hyperscanning</x:v>
      </x:c>
      <x:c r="J120" s="16" t="str">
        <x:v>Groups</x:v>
      </x:c>
      <x:c r="K120" s="16" t="str">
        <x:v>Group choice</x:v>
      </x:c>
      <x:c r="L120" s="16" t="str">
        <x:v>Article</x:v>
      </x:c>
      <x:c r="M120" s="16" t="str"/>
      <x:c r="N120" s="16" t="str">
        <x:v>https://scholar.google.com/scholar?q=EEG+hyperscanning+group+decision+making</x:v>
      </x:c>
      <x:c r="O120" s="16" t="str">
        <x:v>Direct comparator</x:v>
      </x:c>
      <x:c r="P120" s="16" t="str">
        <x:v>Direct experimental category for ARL; exact study details to verify.</x:v>
      </x:c>
      <x:c r="Q120" s="16" t="str">
        <x:v>Requires structured comparison against ARL sensing, interaction, decision, and synchronization features.</x:v>
      </x:c>
      <x:c r="R120" s="16" t="str">
        <x:v>Must read</x:v>
      </x:c>
      <x:c r="S120" s="16" t="str">
        <x:v>Candidate — needs primary-source verification</x:v>
      </x:c>
      <x:c r="T120" s="16" t="str">
        <x:v>Not read</x:v>
      </x:c>
      <x:c r="U120" s="16" t="str">
        <x:v>Targeted literature expansion</x:v>
      </x:c>
      <x:c r="V120" s="16" t="str">
        <x:v>Pending</x:v>
      </x:c>
      <x:c r="W120" s="16" t="str"/>
      <x:c r="X120" s="16" t="str">
        <x:v>Added during expansion from 50 to 150 records.</x:v>
      </x:c>
      <x:c r="Y120" s="16" t="str"/>
    </x:row>
    <x:row r="121">
      <x:c r="A121" s="16" t="str">
        <x:v>MDMER-0120</x:v>
      </x:c>
      <x:c r="B121" s="16" t="str">
        <x:v>Tier 2</x:v>
      </x:c>
      <x:c r="C121" s="16" t="str">
        <x:v>Social/group neuroscience</x:v>
      </x:c>
      <x:c r="D121" s="16" t="str">
        <x:v>Research paper</x:v>
      </x:c>
      <x:c r="E121" s="16" t="str">
        <x:v>Physiological Synchrony and Team Performance</x:v>
      </x:c>
      <x:c r="F121" s="16" t="n">
        <x:v>2016</x:v>
      </x:c>
      <x:c r="G121" s="16" t="str">
        <x:v>Palumbo et al.</x:v>
      </x:c>
      <x:c r="H121" s="16" t="str"/>
      <x:c r="I121" s="16" t="str">
        <x:v>ECG/EDA/respiration review</x:v>
      </x:c>
      <x:c r="J121" s="16" t="str">
        <x:v>Dyads/teams</x:v>
      </x:c>
      <x:c r="K121" s="16" t="str">
        <x:v>Collaborative tasks</x:v>
      </x:c>
      <x:c r="L121" s="16" t="str">
        <x:v>Article</x:v>
      </x:c>
      <x:c r="M121" s="16" t="str"/>
      <x:c r="N121" s="16" t="str">
        <x:v>https://scholar.google.com/scholar?q=Interpersonal+autonomic+physiology+a+systematic+review+of+the+literature+Palumbo+physiological+synchrony</x:v>
      </x:c>
      <x:c r="O121" s="16" t="str">
        <x:v>Background evidence</x:v>
      </x:c>
      <x:c r="P121" s="16" t="str">
        <x:v>Provides framework for interpersonal physiological synchrony.</x:v>
      </x:c>
      <x:c r="Q121" s="16" t="str">
        <x:v>Requires structured comparison against ARL sensing, interaction, decision, and synchronization features.</x:v>
      </x:c>
      <x:c r="R121" s="16" t="str">
        <x:v>High</x:v>
      </x:c>
      <x:c r="S121" s="16" t="str">
        <x:v>Candidate — needs primary-source verification</x:v>
      </x:c>
      <x:c r="T121" s="16" t="str">
        <x:v>Not read</x:v>
      </x:c>
      <x:c r="U121" s="16" t="str">
        <x:v>Targeted literature expansion</x:v>
      </x:c>
      <x:c r="V121" s="16" t="str">
        <x:v>Pending</x:v>
      </x:c>
      <x:c r="W121" s="16" t="str"/>
      <x:c r="X121" s="16" t="str">
        <x:v>Added during expansion from 50 to 150 records.</x:v>
      </x:c>
      <x:c r="Y121" s="16" t="str"/>
    </x:row>
    <x:row r="122">
      <x:c r="A122" s="16" t="str">
        <x:v>MDMER-0121</x:v>
      </x:c>
      <x:c r="B122" s="16" t="str">
        <x:v>Tier 1</x:v>
      </x:c>
      <x:c r="C122" s="16" t="str">
        <x:v>Social/group neuroscience</x:v>
      </x:c>
      <x:c r="D122" s="16" t="str">
        <x:v>Review</x:v>
      </x:c>
      <x:c r="E122" s="16" t="str">
        <x:v>Interpersonal Autonomic Physiology: A Systematic Review of the Literature</x:v>
      </x:c>
      <x:c r="F122" s="16" t="n">
        <x:v>2017</x:v>
      </x:c>
      <x:c r="G122" s="16" t="str">
        <x:v>Palumbo et al.</x:v>
      </x:c>
      <x:c r="H122" s="16" t="str"/>
      <x:c r="I122" s="16" t="str">
        <x:v>ECG; EDA; respiration; autonomic signals</x:v>
      </x:c>
      <x:c r="J122" s="16" t="str">
        <x:v>Dyads/groups</x:v>
      </x:c>
      <x:c r="K122" s="16" t="str">
        <x:v>Social interaction</x:v>
      </x:c>
      <x:c r="L122" s="16" t="str">
        <x:v>Article</x:v>
      </x:c>
      <x:c r="M122" s="16" t="str"/>
      <x:c r="N122" s="16" t="str">
        <x:v>https://scholar.google.com/scholar?q=Interpersonal+autonomic+physiology+a+systematic+review+of+the+literature</x:v>
      </x:c>
      <x:c r="O122" s="16" t="str">
        <x:v>Background evidence</x:v>
      </x:c>
      <x:c r="P122" s="16" t="str">
        <x:v>Core review for peripheral physiological synchrony.</x:v>
      </x:c>
      <x:c r="Q122" s="16" t="str">
        <x:v>Requires structured comparison against ARL sensing, interaction, decision, and synchronization features.</x:v>
      </x:c>
      <x:c r="R122" s="16" t="str">
        <x:v>Must read</x:v>
      </x:c>
      <x:c r="S122" s="16" t="str">
        <x:v>Candidate — needs primary-source verification</x:v>
      </x:c>
      <x:c r="T122" s="16" t="str">
        <x:v>Not read</x:v>
      </x:c>
      <x:c r="U122" s="16" t="str">
        <x:v>Targeted literature expansion</x:v>
      </x:c>
      <x:c r="V122" s="16" t="str">
        <x:v>Pending</x:v>
      </x:c>
      <x:c r="W122" s="16" t="str"/>
      <x:c r="X122" s="16" t="str">
        <x:v>Added during expansion from 50 to 150 records.</x:v>
      </x:c>
      <x:c r="Y122" s="16" t="str"/>
    </x:row>
    <x:row r="123">
      <x:c r="A123" s="16" t="str">
        <x:v>MDMER-0122</x:v>
      </x:c>
      <x:c r="B123" s="16" t="str">
        <x:v>Tier 2</x:v>
      </x:c>
      <x:c r="C123" s="16" t="str">
        <x:v>Social/group neuroscience</x:v>
      </x:c>
      <x:c r="D123" s="16" t="str">
        <x:v>Review</x:v>
      </x:c>
      <x:c r="E123" s="16" t="str">
        <x:v>The Neuroscience of Hyperscanning</x:v>
      </x:c>
      <x:c r="F123" s="16" t="n">
        <x:v>2012</x:v>
      </x:c>
      <x:c r="G123" s="16" t="str">
        <x:v>Babiloni &amp; Astolfi</x:v>
      </x:c>
      <x:c r="H123" s="16" t="str"/>
      <x:c r="I123" s="16" t="str">
        <x:v>EEG/fNIRS/fMRI hyperscanning</x:v>
      </x:c>
      <x:c r="J123" s="16" t="str">
        <x:v>Multi-person</x:v>
      </x:c>
      <x:c r="K123" s="16" t="str">
        <x:v>Social interaction</x:v>
      </x:c>
      <x:c r="L123" s="16" t="str">
        <x:v>Article</x:v>
      </x:c>
      <x:c r="M123" s="16" t="str"/>
      <x:c r="N123" s="16" t="str">
        <x:v>https://scholar.google.com/scholar?q=Social+neuroscience+and+hyperscanning+techniques+past+present+and+future</x:v>
      </x:c>
      <x:c r="O123" s="16" t="str">
        <x:v>Background evidence</x:v>
      </x:c>
      <x:c r="P123" s="16" t="str">
        <x:v>Foundational methods review.</x:v>
      </x:c>
      <x:c r="Q123" s="16" t="str">
        <x:v>Requires structured comparison against ARL sensing, interaction, decision, and synchronization features.</x:v>
      </x:c>
      <x:c r="R123" s="16" t="str">
        <x:v>High</x:v>
      </x:c>
      <x:c r="S123" s="16" t="str">
        <x:v>Candidate — needs primary-source verification</x:v>
      </x:c>
      <x:c r="T123" s="16" t="str">
        <x:v>Not read</x:v>
      </x:c>
      <x:c r="U123" s="16" t="str">
        <x:v>Targeted literature expansion</x:v>
      </x:c>
      <x:c r="V123" s="16" t="str">
        <x:v>Pending</x:v>
      </x:c>
      <x:c r="W123" s="16" t="str"/>
      <x:c r="X123" s="16" t="str">
        <x:v>Added during expansion from 50 to 150 records.</x:v>
      </x:c>
      <x:c r="Y123" s="16" t="str"/>
    </x:row>
    <x:row r="124">
      <x:c r="A124" s="16" t="str">
        <x:v>MDMER-0123</x:v>
      </x:c>
      <x:c r="B124" s="16" t="str">
        <x:v>Tier 1</x:v>
      </x:c>
      <x:c r="C124" s="16" t="str">
        <x:v>Social/group neuroscience</x:v>
      </x:c>
      <x:c r="D124" s="16" t="str">
        <x:v>Review</x:v>
      </x:c>
      <x:c r="E124" s="16" t="str">
        <x:v>Hyperscanning: A Review of Methods and Applications</x:v>
      </x:c>
      <x:c r="F124" s="16" t="n">
        <x:v>2019</x:v>
      </x:c>
      <x:c r="G124" s="16" t="str">
        <x:v>Czeszumski et al.</x:v>
      </x:c>
      <x:c r="H124" s="16" t="str"/>
      <x:c r="I124" s="16" t="str">
        <x:v>EEG; fNIRS; fMRI</x:v>
      </x:c>
      <x:c r="J124" s="16" t="str">
        <x:v>Dyads/groups</x:v>
      </x:c>
      <x:c r="K124" s="16" t="str">
        <x:v>Social interaction</x:v>
      </x:c>
      <x:c r="L124" s="16" t="str">
        <x:v>Article</x:v>
      </x:c>
      <x:c r="M124" s="16" t="str"/>
      <x:c r="N124" s="16" t="str">
        <x:v>https://scholar.google.com/scholar?q=Hyperscanning+what+do+we+know+and+what+do+we+need+to+know+Czeszumski</x:v>
      </x:c>
      <x:c r="O124" s="16" t="str">
        <x:v>Background evidence</x:v>
      </x:c>
      <x:c r="P124" s="16" t="str">
        <x:v>Methodological guide for multi-person neurophysiology.</x:v>
      </x:c>
      <x:c r="Q124" s="16" t="str">
        <x:v>Requires structured comparison against ARL sensing, interaction, decision, and synchronization features.</x:v>
      </x:c>
      <x:c r="R124" s="16" t="str">
        <x:v>Must read</x:v>
      </x:c>
      <x:c r="S124" s="16" t="str">
        <x:v>Candidate — needs primary-source verification</x:v>
      </x:c>
      <x:c r="T124" s="16" t="str">
        <x:v>Not read</x:v>
      </x:c>
      <x:c r="U124" s="16" t="str">
        <x:v>Targeted literature expansion</x:v>
      </x:c>
      <x:c r="V124" s="16" t="str">
        <x:v>Pending</x:v>
      </x:c>
      <x:c r="W124" s="16" t="str"/>
      <x:c r="X124" s="16" t="str">
        <x:v>Added during expansion from 50 to 150 records.</x:v>
      </x:c>
      <x:c r="Y124" s="16" t="str"/>
    </x:row>
    <x:row r="125">
      <x:c r="A125" s="16" t="str">
        <x:v>MDMER-0124</x:v>
      </x:c>
      <x:c r="B125" s="16" t="str">
        <x:v>Tier 2</x:v>
      </x:c>
      <x:c r="C125" s="16" t="str">
        <x:v>Social/group neuroscience</x:v>
      </x:c>
      <x:c r="D125" s="16" t="str">
        <x:v>Research paper</x:v>
      </x:c>
      <x:c r="E125" s="16" t="str">
        <x:v>Interbrain Synchrony during Joint Attention</x:v>
      </x:c>
      <x:c r="F125" s="16" t="n">
        <x:v>2017</x:v>
      </x:c>
      <x:c r="G125" s="16" t="str">
        <x:v>Piazza et al.</x:v>
      </x:c>
      <x:c r="H125" s="16" t="str"/>
      <x:c r="I125" s="16" t="str">
        <x:v>fNIRS hyperscanning</x:v>
      </x:c>
      <x:c r="J125" s="16" t="str">
        <x:v>Dyads</x:v>
      </x:c>
      <x:c r="K125" s="16" t="str">
        <x:v>Joint attention / communication</x:v>
      </x:c>
      <x:c r="L125" s="16" t="str">
        <x:v>Article</x:v>
      </x:c>
      <x:c r="M125" s="16" t="str"/>
      <x:c r="N125" s="16" t="str">
        <x:v>https://scholar.google.com/scholar?q=Infant+and+adult+brains+are+coupled+to+the+dynamics+of+natural+communication+Piazza</x:v>
      </x:c>
      <x:c r="O125" s="16" t="str">
        <x:v>Social/group comparator</x:v>
      </x:c>
      <x:c r="P125" s="16" t="str">
        <x:v>Joint-attention synchrony precedent.</x:v>
      </x:c>
      <x:c r="Q125" s="16" t="str">
        <x:v>Requires structured comparison against ARL sensing, interaction, decision, and synchronization features.</x:v>
      </x:c>
      <x:c r="R125" s="16" t="str">
        <x:v>Medium</x:v>
      </x:c>
      <x:c r="S125" s="16" t="str">
        <x:v>Candidate — needs primary-source verification</x:v>
      </x:c>
      <x:c r="T125" s="16" t="str">
        <x:v>Not read</x:v>
      </x:c>
      <x:c r="U125" s="16" t="str">
        <x:v>Targeted literature expansion</x:v>
      </x:c>
      <x:c r="V125" s="16" t="str">
        <x:v>Pending</x:v>
      </x:c>
      <x:c r="W125" s="16" t="str"/>
      <x:c r="X125" s="16" t="str">
        <x:v>Added during expansion from 50 to 150 records.</x:v>
      </x:c>
      <x:c r="Y125" s="16" t="str"/>
    </x:row>
    <x:row r="126">
      <x:c r="A126" s="16" t="str">
        <x:v>MDMER-0125</x:v>
      </x:c>
      <x:c r="B126" s="16" t="str">
        <x:v>Tier 2</x:v>
      </x:c>
      <x:c r="C126" s="16" t="str">
        <x:v>Social/group neuroscience</x:v>
      </x:c>
      <x:c r="D126" s="16" t="str">
        <x:v>Research paper</x:v>
      </x:c>
      <x:c r="E126" s="16" t="str">
        <x:v>Interpersonal Brain Synchronization during Cooperation and Competition</x:v>
      </x:c>
      <x:c r="F126" s="16" t="n">
        <x:v>2017</x:v>
      </x:c>
      <x:c r="G126" s="16" t="str">
        <x:v>Pan et al.</x:v>
      </x:c>
      <x:c r="H126" s="16" t="str"/>
      <x:c r="I126" s="16" t="str">
        <x:v>fNIRS hyperscanning</x:v>
      </x:c>
      <x:c r="J126" s="16" t="str">
        <x:v>Dyads</x:v>
      </x:c>
      <x:c r="K126" s="16" t="str">
        <x:v>Cooperation vs competition</x:v>
      </x:c>
      <x:c r="L126" s="16" t="str">
        <x:v>Article</x:v>
      </x:c>
      <x:c r="M126" s="16" t="str"/>
      <x:c r="N126" s="16" t="str">
        <x:v>https://scholar.google.com/scholar?q=Interpersonal+brain+synchronization+with+cooperation+and+competition+fNIRS+Pan</x:v>
      </x:c>
      <x:c r="O126" s="16" t="str">
        <x:v>Social/group comparator</x:v>
      </x:c>
      <x:c r="P126" s="16" t="str">
        <x:v>Direct comparison of cooperative/competitive states.</x:v>
      </x:c>
      <x:c r="Q126" s="16" t="str">
        <x:v>Requires structured comparison against ARL sensing, interaction, decision, and synchronization features.</x:v>
      </x:c>
      <x:c r="R126" s="16" t="str">
        <x:v>High</x:v>
      </x:c>
      <x:c r="S126" s="16" t="str">
        <x:v>Candidate — needs primary-source verification</x:v>
      </x:c>
      <x:c r="T126" s="16" t="str">
        <x:v>Not read</x:v>
      </x:c>
      <x:c r="U126" s="16" t="str">
        <x:v>Targeted literature expansion</x:v>
      </x:c>
      <x:c r="V126" s="16" t="str">
        <x:v>Pending</x:v>
      </x:c>
      <x:c r="W126" s="16" t="str"/>
      <x:c r="X126" s="16" t="str">
        <x:v>Added during expansion from 50 to 150 records.</x:v>
      </x:c>
      <x:c r="Y126" s="16" t="str"/>
    </x:row>
    <x:row r="127">
      <x:c r="A127" s="16" t="str">
        <x:v>MDMER-0126</x:v>
      </x:c>
      <x:c r="B127" s="16" t="str">
        <x:v>Tier 2</x:v>
      </x:c>
      <x:c r="C127" s="16" t="str">
        <x:v>Social/group neuroscience</x:v>
      </x:c>
      <x:c r="D127" s="16" t="str">
        <x:v>Research paper</x:v>
      </x:c>
      <x:c r="E127" s="16" t="str">
        <x:v>Neural Synchrony in Teams during Real-World Collaborative Tasks</x:v>
      </x:c>
      <x:c r="F127" s="16" t="n">
        <x:v>2020</x:v>
      </x:c>
      <x:c r="G127" s="16" t="str">
        <x:v>Multiple authors</x:v>
      </x:c>
      <x:c r="H127" s="16" t="str"/>
      <x:c r="I127" s="16" t="str">
        <x:v>EEG hyperscanning</x:v>
      </x:c>
      <x:c r="J127" s="16" t="str">
        <x:v>Teams</x:v>
      </x:c>
      <x:c r="K127" s="16" t="str">
        <x:v>Team collaboration</x:v>
      </x:c>
      <x:c r="L127" s="16" t="str">
        <x:v>Article</x:v>
      </x:c>
      <x:c r="M127" s="16" t="str"/>
      <x:c r="N127" s="16" t="str">
        <x:v>https://scholar.google.com/scholar?q=EEG+hyperscanning+team+collaboration+real+world+task</x:v>
      </x:c>
      <x:c r="O127" s="16" t="str">
        <x:v>Social/group comparator</x:v>
      </x:c>
      <x:c r="P127" s="16" t="str">
        <x:v>Candidate team-neurophysiology comparator.</x:v>
      </x:c>
      <x:c r="Q127" s="16" t="str">
        <x:v>Requires structured comparison against ARL sensing, interaction, decision, and synchronization features.</x:v>
      </x:c>
      <x:c r="R127" s="16" t="str">
        <x:v>High</x:v>
      </x:c>
      <x:c r="S127" s="16" t="str">
        <x:v>Candidate — needs primary-source verification</x:v>
      </x:c>
      <x:c r="T127" s="16" t="str">
        <x:v>Not read</x:v>
      </x:c>
      <x:c r="U127" s="16" t="str">
        <x:v>Targeted literature expansion</x:v>
      </x:c>
      <x:c r="V127" s="16" t="str">
        <x:v>Pending</x:v>
      </x:c>
      <x:c r="W127" s="16" t="str"/>
      <x:c r="X127" s="16" t="str">
        <x:v>Added during expansion from 50 to 150 records.</x:v>
      </x:c>
      <x:c r="Y127" s="16" t="str"/>
    </x:row>
    <x:row r="128">
      <x:c r="A128" s="16" t="str">
        <x:v>MDMER-0127</x:v>
      </x:c>
      <x:c r="B128" s="16" t="str">
        <x:v>Tier 2</x:v>
      </x:c>
      <x:c r="C128" s="16" t="str">
        <x:v>Social/group neuroscience</x:v>
      </x:c>
      <x:c r="D128" s="16" t="str">
        <x:v>Research paper</x:v>
      </x:c>
      <x:c r="E128" s="16" t="str">
        <x:v>Group Flow and Inter-Brain Synchrony</x:v>
      </x:c>
      <x:c r="F128" s="16" t="n">
        <x:v>2021</x:v>
      </x:c>
      <x:c r="G128" s="16" t="str">
        <x:v>Shehata et al.</x:v>
      </x:c>
      <x:c r="H128" s="16" t="str"/>
      <x:c r="I128" s="16" t="str">
        <x:v>EEG hyperscanning</x:v>
      </x:c>
      <x:c r="J128" s="16" t="str">
        <x:v>Teams</x:v>
      </x:c>
      <x:c r="K128" s="16" t="str">
        <x:v>Music/group flow</x:v>
      </x:c>
      <x:c r="L128" s="16" t="str">
        <x:v>Article</x:v>
      </x:c>
      <x:c r="M128" s="16" t="str"/>
      <x:c r="N128" s="16" t="str">
        <x:v>https://scholar.google.com/scholar?q=Team+flow+is+a+unique+brain+state+associated+with+enhanced+information+integration+and+interbrain+synchrony</x:v>
      </x:c>
      <x:c r="O128" s="16" t="str">
        <x:v>Social/group comparator</x:v>
      </x:c>
      <x:c r="P128" s="16" t="str">
        <x:v>Multi-person neural synchrony and group state.</x:v>
      </x:c>
      <x:c r="Q128" s="16" t="str">
        <x:v>Requires structured comparison against ARL sensing, interaction, decision, and synchronization features.</x:v>
      </x:c>
      <x:c r="R128" s="16" t="str">
        <x:v>Medium</x:v>
      </x:c>
      <x:c r="S128" s="16" t="str">
        <x:v>Candidate — needs primary-source verification</x:v>
      </x:c>
      <x:c r="T128" s="16" t="str">
        <x:v>Not read</x:v>
      </x:c>
      <x:c r="U128" s="16" t="str">
        <x:v>Targeted literature expansion</x:v>
      </x:c>
      <x:c r="V128" s="16" t="str">
        <x:v>Pending</x:v>
      </x:c>
      <x:c r="W128" s="16" t="str"/>
      <x:c r="X128" s="16" t="str">
        <x:v>Added during expansion from 50 to 150 records.</x:v>
      </x:c>
      <x:c r="Y128" s="16" t="str"/>
    </x:row>
    <x:row r="129">
      <x:c r="A129" s="16" t="str">
        <x:v>MDMER-0128</x:v>
      </x:c>
      <x:c r="B129" s="16" t="str">
        <x:v>Tier 2</x:v>
      </x:c>
      <x:c r="C129" s="16" t="str">
        <x:v>Social/group neuroscience</x:v>
      </x:c>
      <x:c r="D129" s="16" t="str">
        <x:v>Research paper</x:v>
      </x:c>
      <x:c r="E129" s="16" t="str">
        <x:v>Physiological Coupling in Collaborative Problem Solving</x:v>
      </x:c>
      <x:c r="F129" s="16" t="n">
        <x:v>2018</x:v>
      </x:c>
      <x:c r="G129" s="16" t="str">
        <x:v>Multiple authors</x:v>
      </x:c>
      <x:c r="H129" s="16" t="str"/>
      <x:c r="I129" s="16" t="str">
        <x:v>EDA; ECG/HR</x:v>
      </x:c>
      <x:c r="J129" s="16" t="str">
        <x:v>Dyads/groups</x:v>
      </x:c>
      <x:c r="K129" s="16" t="str">
        <x:v>Collaborative problem solving</x:v>
      </x:c>
      <x:c r="L129" s="16" t="str">
        <x:v>Article</x:v>
      </x:c>
      <x:c r="M129" s="16" t="str"/>
      <x:c r="N129" s="16" t="str">
        <x:v>https://scholar.google.com/scholar?q=physiological+synchrony+collaborative+problem+solving+electrodermal+heart+rate</x:v>
      </x:c>
      <x:c r="O129" s="16" t="str">
        <x:v>Social/group comparator</x:v>
      </x:c>
      <x:c r="P129" s="16" t="str">
        <x:v>Peripheral synchrony during joint tasks.</x:v>
      </x:c>
      <x:c r="Q129" s="16" t="str">
        <x:v>Requires structured comparison against ARL sensing, interaction, decision, and synchronization features.</x:v>
      </x:c>
      <x:c r="R129" s="16" t="str">
        <x:v>High</x:v>
      </x:c>
      <x:c r="S129" s="16" t="str">
        <x:v>Candidate — needs primary-source verification</x:v>
      </x:c>
      <x:c r="T129" s="16" t="str">
        <x:v>Not read</x:v>
      </x:c>
      <x:c r="U129" s="16" t="str">
        <x:v>Targeted literature expansion</x:v>
      </x:c>
      <x:c r="V129" s="16" t="str">
        <x:v>Pending</x:v>
      </x:c>
      <x:c r="W129" s="16" t="str"/>
      <x:c r="X129" s="16" t="str">
        <x:v>Added during expansion from 50 to 150 records.</x:v>
      </x:c>
      <x:c r="Y129" s="16" t="str"/>
    </x:row>
    <x:row r="130">
      <x:c r="A130" s="16" t="str">
        <x:v>MDMER-0129</x:v>
      </x:c>
      <x:c r="B130" s="16" t="str">
        <x:v>Tier 2</x:v>
      </x:c>
      <x:c r="C130" s="16" t="str">
        <x:v>Social/group neuroscience</x:v>
      </x:c>
      <x:c r="D130" s="16" t="str">
        <x:v>Research paper</x:v>
      </x:c>
      <x:c r="E130" s="16" t="str">
        <x:v>Electrodermal Synchrony during Team Collaboration</x:v>
      </x:c>
      <x:c r="F130" s="16" t="n">
        <x:v>2014</x:v>
      </x:c>
      <x:c r="G130" s="16" t="str">
        <x:v>Multiple authors</x:v>
      </x:c>
      <x:c r="H130" s="16" t="str"/>
      <x:c r="I130" s="16" t="str">
        <x:v>EDA</x:v>
      </x:c>
      <x:c r="J130" s="16" t="str">
        <x:v>Groups</x:v>
      </x:c>
      <x:c r="K130" s="16" t="str">
        <x:v>Team task</x:v>
      </x:c>
      <x:c r="L130" s="16" t="str">
        <x:v>Article</x:v>
      </x:c>
      <x:c r="M130" s="16" t="str"/>
      <x:c r="N130" s="16" t="str">
        <x:v>https://scholar.google.com/scholar?q=electrodermal+synchrony+team+collaboration+performance</x:v>
      </x:c>
      <x:c r="O130" s="16" t="str">
        <x:v>Social/group comparator</x:v>
      </x:c>
      <x:c r="P130" s="16" t="str">
        <x:v>EDA synchrony as group-interaction marker.</x:v>
      </x:c>
      <x:c r="Q130" s="16" t="str">
        <x:v>Requires structured comparison against ARL sensing, interaction, decision, and synchronization features.</x:v>
      </x:c>
      <x:c r="R130" s="16" t="str">
        <x:v>Medium</x:v>
      </x:c>
      <x:c r="S130" s="16" t="str">
        <x:v>Candidate — needs primary-source verification</x:v>
      </x:c>
      <x:c r="T130" s="16" t="str">
        <x:v>Not read</x:v>
      </x:c>
      <x:c r="U130" s="16" t="str">
        <x:v>Targeted literature expansion</x:v>
      </x:c>
      <x:c r="V130" s="16" t="str">
        <x:v>Pending</x:v>
      </x:c>
      <x:c r="W130" s="16" t="str"/>
      <x:c r="X130" s="16" t="str">
        <x:v>Added during expansion from 50 to 150 records.</x:v>
      </x:c>
      <x:c r="Y130" s="16" t="str"/>
    </x:row>
    <x:row r="131">
      <x:c r="A131" s="16" t="str">
        <x:v>MDMER-0130</x:v>
      </x:c>
      <x:c r="B131" s="16" t="str">
        <x:v>Tier 1</x:v>
      </x:c>
      <x:c r="C131" s="16" t="str">
        <x:v>Deception and trust</x:v>
      </x:c>
      <x:c r="D131" s="16" t="str">
        <x:v>Dataset paper</x:v>
      </x:c>
      <x:c r="E131" s="16" t="str">
        <x:v>Deception_data: EEG, Physiological and Behavioral Data during Gambling and Cognitive Control</x:v>
      </x:c>
      <x:c r="F131" s="16" t="n">
        <x:v>2026</x:v>
      </x:c>
      <x:c r="G131" s="16" t="str">
        <x:v>Makowski, Pham &amp; Lau</x:v>
      </x:c>
      <x:c r="H131" s="16" t="str"/>
      <x:c r="I131" s="16" t="str">
        <x:v>EEG; ECG; respiration; EDA; EMG; behavior</x:v>
      </x:c>
      <x:c r="J131" s="16" t="str">
        <x:v>Individual</x:v>
      </x:c>
      <x:c r="K131" s="16" t="str">
        <x:v>Spontaneous deception gambling game; cognitive control</x:v>
      </x:c>
      <x:c r="L131" s="16" t="str">
        <x:v>Public</x:v>
      </x:c>
      <x:c r="M131" s="16" t="str">
        <x:v>https://doi.org/10.18112/openneuro.ds004511.v1.0.2</x:v>
      </x:c>
      <x:c r="N131" s="16" t="str">
        <x:v>https://nemar.org/dataset/on004511</x:v>
      </x:c>
      <x:c r="O131" s="16" t="str">
        <x:v>Direct comparator</x:v>
      </x:c>
      <x:c r="P131" s="16" t="str">
        <x:v>Very strong physiology + deception + decision comparator.</x:v>
      </x:c>
      <x:c r="Q131" s="16" t="str">
        <x:v>Requires structured comparison against ARL sensing, interaction, decision, and synchronization features.</x:v>
      </x:c>
      <x:c r="R131" s="16" t="str">
        <x:v>Must read</x:v>
      </x:c>
      <x:c r="S131" s="16" t="str">
        <x:v>Source checked</x:v>
      </x:c>
      <x:c r="T131" s="16" t="str">
        <x:v>Not read</x:v>
      </x:c>
      <x:c r="U131" s="16" t="str">
        <x:v>Web search</x:v>
      </x:c>
      <x:c r="V131" s="16" t="str">
        <x:v>Pending</x:v>
      </x:c>
      <x:c r="W131" s="16" t="str"/>
      <x:c r="X131" s="16" t="str">
        <x:v>Added during expansion from 50 to 150 records.</x:v>
      </x:c>
      <x:c r="Y131" s="16" t="str">
        <x:v>2026-08-25</x:v>
      </x:c>
    </x:row>
    <x:row r="132">
      <x:c r="A132" s="16" t="str">
        <x:v>MDMER-0131</x:v>
      </x:c>
      <x:c r="B132" s="16" t="str">
        <x:v>Tier 3</x:v>
      </x:c>
      <x:c r="C132" s="16" t="str">
        <x:v>Deception and trust</x:v>
      </x:c>
      <x:c r="D132" s="16" t="str">
        <x:v>Dataset paper</x:v>
      </x:c>
      <x:c r="E132" s="16" t="str">
        <x:v>A Multi-Class EEG Dataset for Behavioral Roles in Deception: Honesty, Bluffing, Lying, and Deceiving</x:v>
      </x:c>
      <x:c r="F132" s="16" t="n">
        <x:v>2026</x:v>
      </x:c>
      <x:c r="G132" s="16" t="str">
        <x:v>Multiple authors</x:v>
      </x:c>
      <x:c r="H132" s="16" t="str"/>
      <x:c r="I132" s="16" t="str">
        <x:v>EEG; event markers</x:v>
      </x:c>
      <x:c r="J132" s="16" t="str">
        <x:v>Individual</x:v>
      </x:c>
      <x:c r="K132" s="16" t="str">
        <x:v>Mock crime / interrogation roles</x:v>
      </x:c>
      <x:c r="L132" s="16" t="str">
        <x:v>Public</x:v>
      </x:c>
      <x:c r="M132" s="16" t="str">
        <x:v>https://doi.org/10.6084/m9.figshare.32302035</x:v>
      </x:c>
      <x:c r="N132" s="16" t="str">
        <x:v>https://www.mdpi.com/2306-5729/11/7/162</x:v>
      </x:c>
      <x:c r="O132" s="16" t="str">
        <x:v>Decision-making comparator</x:v>
      </x:c>
      <x:c r="P132" s="16" t="str">
        <x:v>Role-based deception categories and precise event markers.</x:v>
      </x:c>
      <x:c r="Q132" s="16" t="str">
        <x:v>Requires structured comparison against ARL sensing, interaction, decision, and synchronization features.</x:v>
      </x:c>
      <x:c r="R132" s="16" t="str">
        <x:v>High</x:v>
      </x:c>
      <x:c r="S132" s="16" t="str">
        <x:v>Source checked</x:v>
      </x:c>
      <x:c r="T132" s="16" t="str">
        <x:v>Not read</x:v>
      </x:c>
      <x:c r="U132" s="16" t="str">
        <x:v>Web search</x:v>
      </x:c>
      <x:c r="V132" s="16" t="str">
        <x:v>Pending</x:v>
      </x:c>
      <x:c r="W132" s="16" t="str"/>
      <x:c r="X132" s="16" t="str">
        <x:v>Added during expansion from 50 to 150 records.</x:v>
      </x:c>
      <x:c r="Y132" s="16" t="str">
        <x:v>2026-08-25</x:v>
      </x:c>
    </x:row>
    <x:row r="133">
      <x:c r="A133" s="16" t="str">
        <x:v>MDMER-0132</x:v>
      </x:c>
      <x:c r="B133" s="16" t="str">
        <x:v>Tier 3</x:v>
      </x:c>
      <x:c r="C133" s="16" t="str">
        <x:v>Deception and trust</x:v>
      </x:c>
      <x:c r="D133" s="16" t="str">
        <x:v>Research paper</x:v>
      </x:c>
      <x:c r="E133" s="16" t="str">
        <x:v>The Truth and Nothing but the Truth: Multimodal Deception Detection</x:v>
      </x:c>
      <x:c r="F133" s="16" t="n">
        <x:v>2019</x:v>
      </x:c>
      <x:c r="G133" s="16" t="str">
        <x:v>Multiple authors</x:v>
      </x:c>
      <x:c r="H133" s="16" t="str"/>
      <x:c r="I133" s="16" t="str">
        <x:v>Video; audio; text; behavioral cues</x:v>
      </x:c>
      <x:c r="J133" s="16" t="str">
        <x:v>Individual/dyadic interviews</x:v>
      </x:c>
      <x:c r="K133" s="16" t="str">
        <x:v>Deception interviews</x:v>
      </x:c>
      <x:c r="L133" s="16" t="str">
        <x:v>Article/dataset</x:v>
      </x:c>
      <x:c r="M133" s="16" t="str"/>
      <x:c r="N133" s="16" t="str">
        <x:v>https://scholar.google.com/scholar?q=multimodal+deception+detection+audio+video+physiological</x:v>
      </x:c>
      <x:c r="O133" s="16" t="str">
        <x:v>Deception comparator</x:v>
      </x:c>
      <x:c r="P133" s="16" t="str">
        <x:v>Behavioral multimodal deception benchmark.</x:v>
      </x:c>
      <x:c r="Q133" s="16" t="str">
        <x:v>Requires structured comparison against ARL sensing, interaction, decision, and synchronization features.</x:v>
      </x:c>
      <x:c r="R133" s="16" t="str">
        <x:v>Medium</x:v>
      </x:c>
      <x:c r="S133" s="16" t="str">
        <x:v>Candidate — needs primary-source verification</x:v>
      </x:c>
      <x:c r="T133" s="16" t="str">
        <x:v>Not read</x:v>
      </x:c>
      <x:c r="U133" s="16" t="str">
        <x:v>Targeted literature expansion</x:v>
      </x:c>
      <x:c r="V133" s="16" t="str">
        <x:v>Pending</x:v>
      </x:c>
      <x:c r="W133" s="16" t="str"/>
      <x:c r="X133" s="16" t="str">
        <x:v>Added during expansion from 50 to 150 records.</x:v>
      </x:c>
      <x:c r="Y133" s="16" t="str"/>
    </x:row>
    <x:row r="134">
      <x:c r="A134" s="16" t="str">
        <x:v>MDMER-0133</x:v>
      </x:c>
      <x:c r="B134" s="16" t="str">
        <x:v>Tier 3</x:v>
      </x:c>
      <x:c r="C134" s="16" t="str">
        <x:v>Deception and trust</x:v>
      </x:c>
      <x:c r="D134" s="16" t="str">
        <x:v>Research paper</x:v>
      </x:c>
      <x:c r="E134" s="16" t="str">
        <x:v>Neural Signatures of Spontaneous Deception</x:v>
      </x:c>
      <x:c r="F134" s="16" t="n">
        <x:v>2009</x:v>
      </x:c>
      <x:c r="G134" s="16" t="str">
        <x:v>Ganis et al./related</x:v>
      </x:c>
      <x:c r="H134" s="16" t="str"/>
      <x:c r="I134" s="16" t="str">
        <x:v>fMRI/EEG</x:v>
      </x:c>
      <x:c r="J134" s="16" t="str">
        <x:v>Individual</x:v>
      </x:c>
      <x:c r="K134" s="16" t="str">
        <x:v>Spontaneous vs instructed lying</x:v>
      </x:c>
      <x:c r="L134" s="16" t="str">
        <x:v>Article</x:v>
      </x:c>
      <x:c r="M134" s="16" t="str"/>
      <x:c r="N134" s="16" t="str">
        <x:v>https://scholar.google.com/scholar?q=neural+signatures+spontaneous+deception+EEG+fMRI</x:v>
      </x:c>
      <x:c r="O134" s="16" t="str">
        <x:v>Background evidence</x:v>
      </x:c>
      <x:c r="P134" s="16" t="str">
        <x:v>Theoretical deception neuroscience.</x:v>
      </x:c>
      <x:c r="Q134" s="16" t="str">
        <x:v>Requires structured comparison against ARL sensing, interaction, decision, and synchronization features.</x:v>
      </x:c>
      <x:c r="R134" s="16" t="str">
        <x:v>Medium</x:v>
      </x:c>
      <x:c r="S134" s="16" t="str">
        <x:v>Candidate — needs primary-source verification</x:v>
      </x:c>
      <x:c r="T134" s="16" t="str">
        <x:v>Not read</x:v>
      </x:c>
      <x:c r="U134" s="16" t="str">
        <x:v>Targeted literature expansion</x:v>
      </x:c>
      <x:c r="V134" s="16" t="str">
        <x:v>Pending</x:v>
      </x:c>
      <x:c r="W134" s="16" t="str"/>
      <x:c r="X134" s="16" t="str">
        <x:v>Added during expansion from 50 to 150 records.</x:v>
      </x:c>
      <x:c r="Y134" s="16" t="str"/>
    </x:row>
    <x:row r="135">
      <x:c r="A135" s="16" t="str">
        <x:v>MDMER-0134</x:v>
      </x:c>
      <x:c r="B135" s="16" t="str">
        <x:v>Tier 3</x:v>
      </x:c>
      <x:c r="C135" s="16" t="str">
        <x:v>Deception and trust</x:v>
      </x:c>
      <x:c r="D135" s="16" t="str">
        <x:v>Research paper</x:v>
      </x:c>
      <x:c r="E135" s="16" t="str">
        <x:v>Event-Related Potentials in Concealed Information and Deception Detection</x:v>
      </x:c>
      <x:c r="F135" s="16" t="n">
        <x:v>2008</x:v>
      </x:c>
      <x:c r="G135" s="16" t="str">
        <x:v>Rosenfeld et al.</x:v>
      </x:c>
      <x:c r="H135" s="16" t="str"/>
      <x:c r="I135" s="16" t="str">
        <x:v>EEG/ERP</x:v>
      </x:c>
      <x:c r="J135" s="16" t="str">
        <x:v>Individual</x:v>
      </x:c>
      <x:c r="K135" s="16" t="str">
        <x:v>Concealed information test</x:v>
      </x:c>
      <x:c r="L135" s="16" t="str">
        <x:v>Article</x:v>
      </x:c>
      <x:c r="M135" s="16" t="str"/>
      <x:c r="N135" s="16" t="str">
        <x:v>https://scholar.google.com/scholar?q=P300+concealed+information+test+deception+Rosenfeld</x:v>
      </x:c>
      <x:c r="O135" s="16" t="str">
        <x:v>Background evidence</x:v>
      </x:c>
      <x:c r="P135" s="16" t="str">
        <x:v>Classic EEG deception methodology.</x:v>
      </x:c>
      <x:c r="Q135" s="16" t="str">
        <x:v>Requires structured comparison against ARL sensing, interaction, decision, and synchronization features.</x:v>
      </x:c>
      <x:c r="R135" s="16" t="str">
        <x:v>Medium</x:v>
      </x:c>
      <x:c r="S135" s="16" t="str">
        <x:v>Candidate — needs primary-source verification</x:v>
      </x:c>
      <x:c r="T135" s="16" t="str">
        <x:v>Not read</x:v>
      </x:c>
      <x:c r="U135" s="16" t="str">
        <x:v>Targeted literature expansion</x:v>
      </x:c>
      <x:c r="V135" s="16" t="str">
        <x:v>Pending</x:v>
      </x:c>
      <x:c r="W135" s="16" t="str"/>
      <x:c r="X135" s="16" t="str">
        <x:v>Added during expansion from 50 to 150 records.</x:v>
      </x:c>
      <x:c r="Y135" s="16" t="str"/>
    </x:row>
    <x:row r="136">
      <x:c r="A136" s="16" t="str">
        <x:v>MDMER-0135</x:v>
      </x:c>
      <x:c r="B136" s="16" t="str">
        <x:v>Tier 3</x:v>
      </x:c>
      <x:c r="C136" s="16" t="str">
        <x:v>Deception and trust</x:v>
      </x:c>
      <x:c r="D136" s="16" t="str">
        <x:v>Review</x:v>
      </x:c>
      <x:c r="E136" s="16" t="str">
        <x:v>Neuroscience of Deception: A Review</x:v>
      </x:c>
      <x:c r="F136" s="16" t="n">
        <x:v>2011</x:v>
      </x:c>
      <x:c r="G136" s="16" t="str">
        <x:v>Sip et al.</x:v>
      </x:c>
      <x:c r="H136" s="16" t="str"/>
      <x:c r="I136" s="16" t="str">
        <x:v>EEG/fMRI/autonomic</x:v>
      </x:c>
      <x:c r="J136" s="16" t="str">
        <x:v>Individual</x:v>
      </x:c>
      <x:c r="K136" s="16" t="str">
        <x:v>Deception</x:v>
      </x:c>
      <x:c r="L136" s="16" t="str">
        <x:v>Article</x:v>
      </x:c>
      <x:c r="M136" s="16" t="str"/>
      <x:c r="N136" s="16" t="str">
        <x:v>https://scholar.google.com/scholar?q=Detecting+deception+a+review+of+neuroscience+Sip</x:v>
      </x:c>
      <x:c r="O136" s="16" t="str">
        <x:v>Background evidence</x:v>
      </x:c>
      <x:c r="P136" s="16" t="str">
        <x:v>Core theoretical review for deception constructs.</x:v>
      </x:c>
      <x:c r="Q136" s="16" t="str">
        <x:v>Requires structured comparison against ARL sensing, interaction, decision, and synchronization features.</x:v>
      </x:c>
      <x:c r="R136" s="16" t="str">
        <x:v>High</x:v>
      </x:c>
      <x:c r="S136" s="16" t="str">
        <x:v>Candidate — needs primary-source verification</x:v>
      </x:c>
      <x:c r="T136" s="16" t="str">
        <x:v>Not read</x:v>
      </x:c>
      <x:c r="U136" s="16" t="str">
        <x:v>Targeted literature expansion</x:v>
      </x:c>
      <x:c r="V136" s="16" t="str">
        <x:v>Pending</x:v>
      </x:c>
      <x:c r="W136" s="16" t="str"/>
      <x:c r="X136" s="16" t="str">
        <x:v>Added during expansion from 50 to 150 records.</x:v>
      </x:c>
      <x:c r="Y136" s="16" t="str"/>
    </x:row>
    <x:row r="137">
      <x:c r="A137" s="16" t="str">
        <x:v>MDMER-0136</x:v>
      </x:c>
      <x:c r="B137" s="16" t="str">
        <x:v>Tier 1</x:v>
      </x:c>
      <x:c r="C137" s="16" t="str">
        <x:v>Deception and trust</x:v>
      </x:c>
      <x:c r="D137" s="16" t="str">
        <x:v>Research paper</x:v>
      </x:c>
      <x:c r="E137" s="16" t="str">
        <x:v>Trust Game: Neural Correlates of Trust and Reciprocity</x:v>
      </x:c>
      <x:c r="F137" s="16" t="n">
        <x:v>2005</x:v>
      </x:c>
      <x:c r="G137" s="16" t="str">
        <x:v>King-Casas et al.</x:v>
      </x:c>
      <x:c r="H137" s="16" t="str"/>
      <x:c r="I137" s="16" t="str">
        <x:v>fMRI; behavior</x:v>
      </x:c>
      <x:c r="J137" s="16" t="str">
        <x:v>Dyads</x:v>
      </x:c>
      <x:c r="K137" s="16" t="str">
        <x:v>Iterated trust game</x:v>
      </x:c>
      <x:c r="L137" s="16" t="str">
        <x:v>Article</x:v>
      </x:c>
      <x:c r="M137" s="16" t="str"/>
      <x:c r="N137" s="16" t="str">
        <x:v>https://scholar.google.com/scholar?q=Getting+to+know+you+reputation+and+trust+in+a+two-person+economic+exchange+King-Casas</x:v>
      </x:c>
      <x:c r="O137" s="16" t="str">
        <x:v>Social/group comparator</x:v>
      </x:c>
      <x:c r="P137" s="16" t="str">
        <x:v>Canonical repeated social decision and belief-updating paradigm.</x:v>
      </x:c>
      <x:c r="Q137" s="16" t="str">
        <x:v>Requires structured comparison against ARL sensing, interaction, decision, and synchronization features.</x:v>
      </x:c>
      <x:c r="R137" s="16" t="str">
        <x:v>Must read</x:v>
      </x:c>
      <x:c r="S137" s="16" t="str">
        <x:v>Candidate — needs primary-source verification</x:v>
      </x:c>
      <x:c r="T137" s="16" t="str">
        <x:v>Not read</x:v>
      </x:c>
      <x:c r="U137" s="16" t="str">
        <x:v>Targeted literature expansion</x:v>
      </x:c>
      <x:c r="V137" s="16" t="str">
        <x:v>Pending</x:v>
      </x:c>
      <x:c r="W137" s="16" t="str"/>
      <x:c r="X137" s="16" t="str">
        <x:v>Added during expansion from 50 to 150 records.</x:v>
      </x:c>
      <x:c r="Y137" s="16" t="str"/>
    </x:row>
    <x:row r="138">
      <x:c r="A138" s="16" t="str">
        <x:v>MDMER-0137</x:v>
      </x:c>
      <x:c r="B138" s="16" t="str">
        <x:v>Tier 2</x:v>
      </x:c>
      <x:c r="C138" s="16" t="str">
        <x:v>Deception and trust</x:v>
      </x:c>
      <x:c r="D138" s="16" t="str">
        <x:v>Research paper</x:v>
      </x:c>
      <x:c r="E138" s="16" t="str">
        <x:v>The Neural Basis of Trust</x:v>
      </x:c>
      <x:c r="F138" s="16" t="n">
        <x:v>2002</x:v>
      </x:c>
      <x:c r="G138" s="16" t="str">
        <x:v>McCabe et al.</x:v>
      </x:c>
      <x:c r="H138" s="16" t="str"/>
      <x:c r="I138" s="16" t="str">
        <x:v>fMRI; behavior</x:v>
      </x:c>
      <x:c r="J138" s="16" t="str">
        <x:v>Dyads</x:v>
      </x:c>
      <x:c r="K138" s="16" t="str">
        <x:v>Trust game</x:v>
      </x:c>
      <x:c r="L138" s="16" t="str">
        <x:v>Article</x:v>
      </x:c>
      <x:c r="M138" s="16" t="str"/>
      <x:c r="N138" s="16" t="str">
        <x:v>https://scholar.google.com/scholar?q=A+functional+imaging+study+of+cooperation+in+two-person+reciprocal+exchange</x:v>
      </x:c>
      <x:c r="O138" s="16" t="str">
        <x:v>Social/group comparator</x:v>
      </x:c>
      <x:c r="P138" s="16" t="str">
        <x:v>Foundational social-decision neuroscience.</x:v>
      </x:c>
      <x:c r="Q138" s="16" t="str">
        <x:v>Requires structured comparison against ARL sensing, interaction, decision, and synchronization features.</x:v>
      </x:c>
      <x:c r="R138" s="16" t="str">
        <x:v>High</x:v>
      </x:c>
      <x:c r="S138" s="16" t="str">
        <x:v>Candidate — needs primary-source verification</x:v>
      </x:c>
      <x:c r="T138" s="16" t="str">
        <x:v>Not read</x:v>
      </x:c>
      <x:c r="U138" s="16" t="str">
        <x:v>Targeted literature expansion</x:v>
      </x:c>
      <x:c r="V138" s="16" t="str">
        <x:v>Pending</x:v>
      </x:c>
      <x:c r="W138" s="16" t="str"/>
      <x:c r="X138" s="16" t="str">
        <x:v>Added during expansion from 50 to 150 records.</x:v>
      </x:c>
      <x:c r="Y138" s="16" t="str"/>
    </x:row>
    <x:row r="139">
      <x:c r="A139" s="16" t="str">
        <x:v>MDMER-0138</x:v>
      </x:c>
      <x:c r="B139" s="16" t="str">
        <x:v>Tier 3</x:v>
      </x:c>
      <x:c r="C139" s="16" t="str">
        <x:v>Deception and trust</x:v>
      </x:c>
      <x:c r="D139" s="16" t="str">
        <x:v>Research paper</x:v>
      </x:c>
      <x:c r="E139" s="16" t="str">
        <x:v>Oxytocin Increases Trust in Humans</x:v>
      </x:c>
      <x:c r="F139" s="16" t="n">
        <x:v>2005</x:v>
      </x:c>
      <x:c r="G139" s="16" t="str">
        <x:v>Kosfeld et al.</x:v>
      </x:c>
      <x:c r="H139" s="16" t="str"/>
      <x:c r="I139" s="16" t="str">
        <x:v>Behavior; hormonal intervention</x:v>
      </x:c>
      <x:c r="J139" s="16" t="str">
        <x:v>Dyads</x:v>
      </x:c>
      <x:c r="K139" s="16" t="str">
        <x:v>Trust game</x:v>
      </x:c>
      <x:c r="L139" s="16" t="str">
        <x:v>Article</x:v>
      </x:c>
      <x:c r="M139" s="16" t="str"/>
      <x:c r="N139" s="16" t="str">
        <x:v>https://scholar.google.com/scholar?q=Oxytocin+increases+trust+in+humans+Nature+2005</x:v>
      </x:c>
      <x:c r="O139" s="16" t="str">
        <x:v>Background evidence</x:v>
      </x:c>
      <x:c r="P139" s="16" t="str">
        <x:v>Classic trust-game study.</x:v>
      </x:c>
      <x:c r="Q139" s="16" t="str">
        <x:v>Requires structured comparison against ARL sensing, interaction, decision, and synchronization features.</x:v>
      </x:c>
      <x:c r="R139" s="16" t="str">
        <x:v>Medium</x:v>
      </x:c>
      <x:c r="S139" s="16" t="str">
        <x:v>Candidate — needs primary-source verification</x:v>
      </x:c>
      <x:c r="T139" s="16" t="str">
        <x:v>Not read</x:v>
      </x:c>
      <x:c r="U139" s="16" t="str">
        <x:v>Targeted literature expansion</x:v>
      </x:c>
      <x:c r="V139" s="16" t="str">
        <x:v>Pending</x:v>
      </x:c>
      <x:c r="W139" s="16" t="str"/>
      <x:c r="X139" s="16" t="str">
        <x:v>Added during expansion from 50 to 150 records.</x:v>
      </x:c>
      <x:c r="Y139" s="16" t="str"/>
    </x:row>
    <x:row r="140">
      <x:c r="A140" s="16" t="str">
        <x:v>MDMER-0139</x:v>
      </x:c>
      <x:c r="B140" s="16" t="str">
        <x:v>Tier 1</x:v>
      </x:c>
      <x:c r="C140" s="16" t="str">
        <x:v>Deception and trust</x:v>
      </x:c>
      <x:c r="D140" s="16" t="str">
        <x:v>Research paper</x:v>
      </x:c>
      <x:c r="E140" s="16" t="str">
        <x:v>Neural Responses to Fairness in the Ultimatum Game</x:v>
      </x:c>
      <x:c r="F140" s="16" t="n">
        <x:v>2003</x:v>
      </x:c>
      <x:c r="G140" s="16" t="str">
        <x:v>Sanfey et al.</x:v>
      </x:c>
      <x:c r="H140" s="16" t="str"/>
      <x:c r="I140" s="16" t="str">
        <x:v>fMRI; behavior</x:v>
      </x:c>
      <x:c r="J140" s="16" t="str">
        <x:v>Dyads</x:v>
      </x:c>
      <x:c r="K140" s="16" t="str">
        <x:v>Ultimatum game</x:v>
      </x:c>
      <x:c r="L140" s="16" t="str">
        <x:v>Article</x:v>
      </x:c>
      <x:c r="M140" s="16" t="str"/>
      <x:c r="N140" s="16" t="str">
        <x:v>https://scholar.google.com/scholar?q=The+neural+basis+of+economic+decision-making+in+the+Ultimatum+Game</x:v>
      </x:c>
      <x:c r="O140" s="16" t="str">
        <x:v>Social/group comparator</x:v>
      </x:c>
      <x:c r="P140" s="16" t="str">
        <x:v>Canonical social decision conflict paradigm.</x:v>
      </x:c>
      <x:c r="Q140" s="16" t="str">
        <x:v>Requires structured comparison against ARL sensing, interaction, decision, and synchronization features.</x:v>
      </x:c>
      <x:c r="R140" s="16" t="str">
        <x:v>Must read</x:v>
      </x:c>
      <x:c r="S140" s="16" t="str">
        <x:v>Candidate — needs primary-source verification</x:v>
      </x:c>
      <x:c r="T140" s="16" t="str">
        <x:v>Not read</x:v>
      </x:c>
      <x:c r="U140" s="16" t="str">
        <x:v>Targeted literature expansion</x:v>
      </x:c>
      <x:c r="V140" s="16" t="str">
        <x:v>Pending</x:v>
      </x:c>
      <x:c r="W140" s="16" t="str"/>
      <x:c r="X140" s="16" t="str">
        <x:v>Added during expansion from 50 to 150 records.</x:v>
      </x:c>
      <x:c r="Y140" s="16" t="str"/>
    </x:row>
    <x:row r="141">
      <x:c r="A141" s="16" t="str">
        <x:v>MDMER-0140</x:v>
      </x:c>
      <x:c r="B141" s="16" t="str">
        <x:v>Tier 3</x:v>
      </x:c>
      <x:c r="C141" s="16" t="str">
        <x:v>Deception and trust</x:v>
      </x:c>
      <x:c r="D141" s="16" t="str">
        <x:v>Research paper</x:v>
      </x:c>
      <x:c r="E141" s="16" t="str">
        <x:v>Autonomic Responses during the Ultimatum Game</x:v>
      </x:c>
      <x:c r="F141" s="16" t="n">
        <x:v>2011</x:v>
      </x:c>
      <x:c r="G141" s="16" t="str">
        <x:v>Multiple authors</x:v>
      </x:c>
      <x:c r="H141" s="16" t="str"/>
      <x:c r="I141" s="16" t="str">
        <x:v>ECG/EDA; behavior</x:v>
      </x:c>
      <x:c r="J141" s="16" t="str">
        <x:v>Dyads</x:v>
      </x:c>
      <x:c r="K141" s="16" t="str">
        <x:v>Ultimatum game</x:v>
      </x:c>
      <x:c r="L141" s="16" t="str">
        <x:v>Article</x:v>
      </x:c>
      <x:c r="M141" s="16" t="str"/>
      <x:c r="N141" s="16" t="str">
        <x:v>https://scholar.google.com/scholar?q=skin+conductance+heart+rate+ultimatum+game+unfair+offers</x:v>
      </x:c>
      <x:c r="O141" s="16" t="str">
        <x:v>Decision-making comparator</x:v>
      </x:c>
      <x:c r="P141" s="16" t="str">
        <x:v>Peripheral physiology during social decisions.</x:v>
      </x:c>
      <x:c r="Q141" s="16" t="str">
        <x:v>Requires structured comparison against ARL sensing, interaction, decision, and synchronization features.</x:v>
      </x:c>
      <x:c r="R141" s="16" t="str">
        <x:v>High</x:v>
      </x:c>
      <x:c r="S141" s="16" t="str">
        <x:v>Candidate — needs primary-source verification</x:v>
      </x:c>
      <x:c r="T141" s="16" t="str">
        <x:v>Not read</x:v>
      </x:c>
      <x:c r="U141" s="16" t="str">
        <x:v>Targeted literature expansion</x:v>
      </x:c>
      <x:c r="V141" s="16" t="str">
        <x:v>Pending</x:v>
      </x:c>
      <x:c r="W141" s="16" t="str"/>
      <x:c r="X141" s="16" t="str">
        <x:v>Added during expansion from 50 to 150 records.</x:v>
      </x:c>
      <x:c r="Y141" s="16" t="str"/>
    </x:row>
    <x:row r="142">
      <x:c r="A142" s="16" t="str">
        <x:v>MDMER-0141</x:v>
      </x:c>
      <x:c r="B142" s="16" t="str">
        <x:v>Tier 3</x:v>
      </x:c>
      <x:c r="C142" s="16" t="str">
        <x:v>Deception and trust</x:v>
      </x:c>
      <x:c r="D142" s="16" t="str">
        <x:v>Research paper</x:v>
      </x:c>
      <x:c r="E142" s="16" t="str">
        <x:v>EEG Oscillations during Trust and Reciprocity Decisions</x:v>
      </x:c>
      <x:c r="F142" s="16" t="n">
        <x:v>2014</x:v>
      </x:c>
      <x:c r="G142" s="16" t="str">
        <x:v>Multiple authors</x:v>
      </x:c>
      <x:c r="H142" s="16" t="str"/>
      <x:c r="I142" s="16" t="str">
        <x:v>EEG; behavior</x:v>
      </x:c>
      <x:c r="J142" s="16" t="str">
        <x:v>Dyads</x:v>
      </x:c>
      <x:c r="K142" s="16" t="str">
        <x:v>Trust game</x:v>
      </x:c>
      <x:c r="L142" s="16" t="str">
        <x:v>Article</x:v>
      </x:c>
      <x:c r="M142" s="16" t="str"/>
      <x:c r="N142" s="16" t="str">
        <x:v>https://scholar.google.com/scholar?q=EEG+oscillations+trust+game+decision+making</x:v>
      </x:c>
      <x:c r="O142" s="16" t="str">
        <x:v>Decision-making comparator</x:v>
      </x:c>
      <x:c r="P142" s="16" t="str">
        <x:v>EEG trust decision comparator.</x:v>
      </x:c>
      <x:c r="Q142" s="16" t="str">
        <x:v>Requires structured comparison against ARL sensing, interaction, decision, and synchronization features.</x:v>
      </x:c>
      <x:c r="R142" s="16" t="str">
        <x:v>High</x:v>
      </x:c>
      <x:c r="S142" s="16" t="str">
        <x:v>Candidate — needs primary-source verification</x:v>
      </x:c>
      <x:c r="T142" s="16" t="str">
        <x:v>Not read</x:v>
      </x:c>
      <x:c r="U142" s="16" t="str">
        <x:v>Targeted literature expansion</x:v>
      </x:c>
      <x:c r="V142" s="16" t="str">
        <x:v>Pending</x:v>
      </x:c>
      <x:c r="W142" s="16" t="str"/>
      <x:c r="X142" s="16" t="str">
        <x:v>Added during expansion from 50 to 150 records.</x:v>
      </x:c>
      <x:c r="Y142" s="16" t="str"/>
    </x:row>
    <x:row r="143">
      <x:c r="A143" s="16" t="str">
        <x:v>MDMER-0142</x:v>
      </x:c>
      <x:c r="B143" s="16" t="str">
        <x:v>Tier 3</x:v>
      </x:c>
      <x:c r="C143" s="16" t="str">
        <x:v>Deception and trust</x:v>
      </x:c>
      <x:c r="D143" s="16" t="str">
        <x:v>Research paper</x:v>
      </x:c>
      <x:c r="E143" s="16" t="str">
        <x:v>Frontal Theta during Social Conflict and Fairness Decisions</x:v>
      </x:c>
      <x:c r="F143" s="16" t="n">
        <x:v>2016</x:v>
      </x:c>
      <x:c r="G143" s="16" t="str">
        <x:v>Multiple authors</x:v>
      </x:c>
      <x:c r="H143" s="16" t="str"/>
      <x:c r="I143" s="16" t="str">
        <x:v>EEG; behavior</x:v>
      </x:c>
      <x:c r="J143" s="16" t="str">
        <x:v>Dyads</x:v>
      </x:c>
      <x:c r="K143" s="16" t="str">
        <x:v>Ultimatum/social conflict</x:v>
      </x:c>
      <x:c r="L143" s="16" t="str">
        <x:v>Article</x:v>
      </x:c>
      <x:c r="M143" s="16" t="str"/>
      <x:c r="N143" s="16" t="str">
        <x:v>https://scholar.google.com/scholar?q=frontal+theta+social+conflict+ultimatum+game+EEG</x:v>
      </x:c>
      <x:c r="O143" s="16" t="str">
        <x:v>Decision-making comparator</x:v>
      </x:c>
      <x:c r="P143" s="16" t="str">
        <x:v>Links theta with social decision conflict.</x:v>
      </x:c>
      <x:c r="Q143" s="16" t="str">
        <x:v>Requires structured comparison against ARL sensing, interaction, decision, and synchronization features.</x:v>
      </x:c>
      <x:c r="R143" s="16" t="str">
        <x:v>High</x:v>
      </x:c>
      <x:c r="S143" s="16" t="str">
        <x:v>Candidate — needs primary-source verification</x:v>
      </x:c>
      <x:c r="T143" s="16" t="str">
        <x:v>Not read</x:v>
      </x:c>
      <x:c r="U143" s="16" t="str">
        <x:v>Targeted literature expansion</x:v>
      </x:c>
      <x:c r="V143" s="16" t="str">
        <x:v>Pending</x:v>
      </x:c>
      <x:c r="W143" s="16" t="str"/>
      <x:c r="X143" s="16" t="str">
        <x:v>Added during expansion from 50 to 150 records.</x:v>
      </x:c>
      <x:c r="Y143" s="16" t="str"/>
    </x:row>
    <x:row r="144">
      <x:c r="A144" s="16" t="str">
        <x:v>MDMER-0143</x:v>
      </x:c>
      <x:c r="B144" s="16" t="str">
        <x:v>Tier 2</x:v>
      </x:c>
      <x:c r="C144" s="16" t="str">
        <x:v>Deception and trust</x:v>
      </x:c>
      <x:c r="D144" s="16" t="str">
        <x:v>Research paper</x:v>
      </x:c>
      <x:c r="E144" s="16" t="str">
        <x:v>Physiological Signals of Trust in Human-Human Interaction</x:v>
      </x:c>
      <x:c r="F144" s="16" t="n">
        <x:v>2018</x:v>
      </x:c>
      <x:c r="G144" s="16" t="str">
        <x:v>Multiple authors</x:v>
      </x:c>
      <x:c r="H144" s="16" t="str"/>
      <x:c r="I144" s="16" t="str">
        <x:v>ECG; EDA; HRV</x:v>
      </x:c>
      <x:c r="J144" s="16" t="str">
        <x:v>Dyads</x:v>
      </x:c>
      <x:c r="K144" s="16" t="str">
        <x:v>Trust/cooperation task</x:v>
      </x:c>
      <x:c r="L144" s="16" t="str">
        <x:v>Article</x:v>
      </x:c>
      <x:c r="M144" s="16" t="str"/>
      <x:c r="N144" s="16" t="str">
        <x:v>https://scholar.google.com/scholar?q=physiological+signals+trust+human+interaction+ECG+EDA+HRV</x:v>
      </x:c>
      <x:c r="O144" s="16" t="str">
        <x:v>Social/group comparator</x:v>
      </x:c>
      <x:c r="P144" s="16" t="str">
        <x:v>Peripheral physiology and interpersonal trust.</x:v>
      </x:c>
      <x:c r="Q144" s="16" t="str">
        <x:v>Requires structured comparison against ARL sensing, interaction, decision, and synchronization features.</x:v>
      </x:c>
      <x:c r="R144" s="16" t="str">
        <x:v>High</x:v>
      </x:c>
      <x:c r="S144" s="16" t="str">
        <x:v>Candidate — needs primary-source verification</x:v>
      </x:c>
      <x:c r="T144" s="16" t="str">
        <x:v>Not read</x:v>
      </x:c>
      <x:c r="U144" s="16" t="str">
        <x:v>Targeted literature expansion</x:v>
      </x:c>
      <x:c r="V144" s="16" t="str">
        <x:v>Pending</x:v>
      </x:c>
      <x:c r="W144" s="16" t="str"/>
      <x:c r="X144" s="16" t="str">
        <x:v>Added during expansion from 50 to 150 records.</x:v>
      </x:c>
      <x:c r="Y144" s="16" t="str"/>
    </x:row>
    <x:row r="145">
      <x:c r="A145" s="16" t="str">
        <x:v>MDMER-0144</x:v>
      </x:c>
      <x:c r="B145" s="16" t="str">
        <x:v>Tier 1</x:v>
      </x:c>
      <x:c r="C145" s="16" t="str">
        <x:v>Deception and trust</x:v>
      </x:c>
      <x:c r="D145" s="16" t="str">
        <x:v>Review</x:v>
      </x:c>
      <x:c r="E145" s="16" t="str">
        <x:v>Deception Detection Using Physiological and Behavioral Signals: A Review</x:v>
      </x:c>
      <x:c r="F145" s="16" t="n">
        <x:v>2020</x:v>
      </x:c>
      <x:c r="G145" s="16" t="str">
        <x:v>Multiple authors</x:v>
      </x:c>
      <x:c r="H145" s="16" t="str"/>
      <x:c r="I145" s="16" t="str">
        <x:v>EEG; ECG; EDA; eye gaze; audio; video</x:v>
      </x:c>
      <x:c r="J145" s="16" t="str">
        <x:v>Various</x:v>
      </x:c>
      <x:c r="K145" s="16" t="str">
        <x:v>Deception</x:v>
      </x:c>
      <x:c r="L145" s="16" t="str">
        <x:v>Article</x:v>
      </x:c>
      <x:c r="M145" s="16" t="str"/>
      <x:c r="N145" s="16" t="str">
        <x:v>https://scholar.google.com/scholar?q=deception+detection+physiological+behavioral+signals+review+EEG+ECG+EDA+gaze</x:v>
      </x:c>
      <x:c r="O145" s="16" t="str">
        <x:v>Background evidence</x:v>
      </x:c>
      <x:c r="P145" s="16" t="str">
        <x:v>Helps position multimodal deception sensing landscape.</x:v>
      </x:c>
      <x:c r="Q145" s="16" t="str">
        <x:v>Requires structured comparison against ARL sensing, interaction, decision, and synchronization features.</x:v>
      </x:c>
      <x:c r="R145" s="16" t="str">
        <x:v>Must read</x:v>
      </x:c>
      <x:c r="S145" s="16" t="str">
        <x:v>Candidate — needs primary-source verification</x:v>
      </x:c>
      <x:c r="T145" s="16" t="str">
        <x:v>Not read</x:v>
      </x:c>
      <x:c r="U145" s="16" t="str">
        <x:v>Targeted literature expansion</x:v>
      </x:c>
      <x:c r="V145" s="16" t="str">
        <x:v>Pending</x:v>
      </x:c>
      <x:c r="W145" s="16" t="str"/>
      <x:c r="X145" s="16" t="str">
        <x:v>Added during expansion from 50 to 150 records.</x:v>
      </x:c>
      <x:c r="Y145" s="16" t="str"/>
    </x:row>
    <x:row r="146">
      <x:c r="A146" s="16" t="str">
        <x:v>MDMER-0145</x:v>
      </x:c>
      <x:c r="B146" s="16" t="str">
        <x:v>Tier 5</x:v>
      </x:c>
      <x:c r="C146" s="16" t="str">
        <x:v>Acquisition and synchronization</x:v>
      </x:c>
      <x:c r="D146" s="16" t="str">
        <x:v>Methods paper</x:v>
      </x:c>
      <x:c r="E146" s="16" t="str">
        <x:v>Mobile Brain/Body Imaging (MoBI): New Frontiers in Neuroimaging</x:v>
      </x:c>
      <x:c r="F146" s="16" t="n">
        <x:v>2009</x:v>
      </x:c>
      <x:c r="G146" s="16" t="str">
        <x:v>Makeig et al.</x:v>
      </x:c>
      <x:c r="H146" s="16" t="str"/>
      <x:c r="I146" s="16" t="str">
        <x:v>EEG; motion; behavior</x:v>
      </x:c>
      <x:c r="J146" s="16" t="str">
        <x:v>Individual/social capable</x:v>
      </x:c>
      <x:c r="K146" s="16" t="str">
        <x:v>Mobile naturalistic tasks</x:v>
      </x:c>
      <x:c r="L146" s="16" t="str">
        <x:v>Article</x:v>
      </x:c>
      <x:c r="M146" s="16" t="str"/>
      <x:c r="N146" s="16" t="str">
        <x:v>https://scholar.google.com/scholar?q=Mobile+brain+body+imaging+MoBI+Makeig</x:v>
      </x:c>
      <x:c r="O146" s="16" t="str">
        <x:v>Synchronization comparator</x:v>
      </x:c>
      <x:c r="P146" s="16" t="str">
        <x:v>Foundational multimodal mobile neurophysiology architecture.</x:v>
      </x:c>
      <x:c r="Q146" s="16" t="str">
        <x:v>Requires structured comparison against ARL sensing, interaction, decision, and synchronization features.</x:v>
      </x:c>
      <x:c r="R146" s="16" t="str">
        <x:v>High</x:v>
      </x:c>
      <x:c r="S146" s="16" t="str">
        <x:v>Candidate — needs primary-source verification</x:v>
      </x:c>
      <x:c r="T146" s="16" t="str">
        <x:v>Not read</x:v>
      </x:c>
      <x:c r="U146" s="16" t="str">
        <x:v>Targeted literature expansion</x:v>
      </x:c>
      <x:c r="V146" s="16" t="str">
        <x:v>Pending</x:v>
      </x:c>
      <x:c r="W146" s="16" t="str"/>
      <x:c r="X146" s="16" t="str">
        <x:v>Added during expansion from 50 to 150 records.</x:v>
      </x:c>
      <x:c r="Y146" s="16" t="str"/>
    </x:row>
    <x:row r="147">
      <x:c r="A147" s="16" t="str">
        <x:v>MDMER-0146</x:v>
      </x:c>
      <x:c r="B147" s="16" t="str">
        <x:v>Tier 5</x:v>
      </x:c>
      <x:c r="C147" s="16" t="str">
        <x:v>Acquisition and synchronization</x:v>
      </x:c>
      <x:c r="D147" s="16" t="str">
        <x:v>Methods paper</x:v>
      </x:c>
      <x:c r="E147" s="16" t="str">
        <x:v>EEGLAB: An Open Source Toolbox for Analysis of Single-Trial EEG Dynamics</x:v>
      </x:c>
      <x:c r="F147" s="16" t="n">
        <x:v>2004</x:v>
      </x:c>
      <x:c r="G147" s="16" t="str">
        <x:v>Delorme &amp; Makeig</x:v>
      </x:c>
      <x:c r="H147" s="16" t="str"/>
      <x:c r="I147" s="16" t="str">
        <x:v>EEG; event markers</x:v>
      </x:c>
      <x:c r="J147" s="16" t="str">
        <x:v>N/A</x:v>
      </x:c>
      <x:c r="K147" s="16" t="str">
        <x:v>EEG analysis</x:v>
      </x:c>
      <x:c r="L147" s="16" t="str">
        <x:v>Open source</x:v>
      </x:c>
      <x:c r="M147" s="16" t="str">
        <x:v>https://sccn.ucsd.edu/eeglab/</x:v>
      </x:c>
      <x:c r="N147" s="16" t="str">
        <x:v>https://doi.org/10.1016/j.jneumeth.2003.10.009</x:v>
      </x:c>
      <x:c r="O147" s="16" t="str">
        <x:v>Background evidence</x:v>
      </x:c>
      <x:c r="P147" s="16" t="str">
        <x:v>Core EEG processing infrastructure reference.</x:v>
      </x:c>
      <x:c r="Q147" s="16" t="str">
        <x:v>Requires structured comparison against ARL sensing, interaction, decision, and synchronization features.</x:v>
      </x:c>
      <x:c r="R147" s="16" t="str">
        <x:v>Medium</x:v>
      </x:c>
      <x:c r="S147" s="16" t="str">
        <x:v>Candidate — needs primary-source verification</x:v>
      </x:c>
      <x:c r="T147" s="16" t="str">
        <x:v>Not read</x:v>
      </x:c>
      <x:c r="U147" s="16" t="str">
        <x:v>Targeted literature expansion</x:v>
      </x:c>
      <x:c r="V147" s="16" t="str">
        <x:v>Pending</x:v>
      </x:c>
      <x:c r="W147" s="16" t="str"/>
      <x:c r="X147" s="16" t="str">
        <x:v>Added during expansion from 50 to 150 records.</x:v>
      </x:c>
      <x:c r="Y147" s="16" t="str"/>
    </x:row>
    <x:row r="148">
      <x:c r="A148" s="16" t="str">
        <x:v>MDMER-0147</x:v>
      </x:c>
      <x:c r="B148" s="16" t="str">
        <x:v>Tier 5</x:v>
      </x:c>
      <x:c r="C148" s="16" t="str">
        <x:v>Acquisition and synchronization</x:v>
      </x:c>
      <x:c r="D148" s="16" t="str">
        <x:v>Methods paper</x:v>
      </x:c>
      <x:c r="E148" s="16" t="str">
        <x:v>MNE-Python: Software for Processing MEG and EEG Data</x:v>
      </x:c>
      <x:c r="F148" s="16" t="n">
        <x:v>2013</x:v>
      </x:c>
      <x:c r="G148" s="16" t="str">
        <x:v>Gramfort et al.</x:v>
      </x:c>
      <x:c r="H148" s="16" t="str"/>
      <x:c r="I148" s="16" t="str">
        <x:v>EEG/MEG; multimodal event data</x:v>
      </x:c>
      <x:c r="J148" s="16" t="str">
        <x:v>N/A</x:v>
      </x:c>
      <x:c r="K148" s="16" t="str">
        <x:v>Signal processing</x:v>
      </x:c>
      <x:c r="L148" s="16" t="str">
        <x:v>Open source</x:v>
      </x:c>
      <x:c r="M148" s="16" t="str">
        <x:v>https://mne.tools/</x:v>
      </x:c>
      <x:c r="N148" s="16" t="str">
        <x:v>https://doi.org/10.3389/fnins.2013.00267</x:v>
      </x:c>
      <x:c r="O148" s="16" t="str">
        <x:v>Background evidence</x:v>
      </x:c>
      <x:c r="P148" s="16" t="str">
        <x:v>Potential analysis stack and reproducibility reference.</x:v>
      </x:c>
      <x:c r="Q148" s="16" t="str">
        <x:v>Requires structured comparison against ARL sensing, interaction, decision, and synchronization features.</x:v>
      </x:c>
      <x:c r="R148" s="16" t="str">
        <x:v>Medium</x:v>
      </x:c>
      <x:c r="S148" s="16" t="str">
        <x:v>Candidate — needs primary-source verification</x:v>
      </x:c>
      <x:c r="T148" s="16" t="str">
        <x:v>Not read</x:v>
      </x:c>
      <x:c r="U148" s="16" t="str">
        <x:v>Targeted literature expansion</x:v>
      </x:c>
      <x:c r="V148" s="16" t="str">
        <x:v>Pending</x:v>
      </x:c>
      <x:c r="W148" s="16" t="str"/>
      <x:c r="X148" s="16" t="str">
        <x:v>Added during expansion from 50 to 150 records.</x:v>
      </x:c>
      <x:c r="Y148" s="16" t="str"/>
    </x:row>
    <x:row r="149">
      <x:c r="A149" s="16" t="str">
        <x:v>MDMER-0148</x:v>
      </x:c>
      <x:c r="B149" s="16" t="str">
        <x:v>Tier 1</x:v>
      </x:c>
      <x:c r="C149" s="16" t="str">
        <x:v>Acquisition and synchronization</x:v>
      </x:c>
      <x:c r="D149" s="16" t="str">
        <x:v>Methods paper</x:v>
      </x:c>
      <x:c r="E149" s="16" t="str">
        <x:v>BIDS: A Community Standard for Organizing and Describing Neuroimaging and Behavioral Data</x:v>
      </x:c>
      <x:c r="F149" s="16" t="n">
        <x:v>2016</x:v>
      </x:c>
      <x:c r="G149" s="16" t="str">
        <x:v>Gorgolewski et al.</x:v>
      </x:c>
      <x:c r="H149" s="16" t="str"/>
      <x:c r="I149" s="16" t="str">
        <x:v>Neuroimaging; behavior; metadata</x:v>
      </x:c>
      <x:c r="J149" s="16" t="str">
        <x:v>N/A</x:v>
      </x:c>
      <x:c r="K149" s="16" t="str">
        <x:v>Data organization</x:v>
      </x:c>
      <x:c r="L149" s="16" t="str">
        <x:v>Open standard</x:v>
      </x:c>
      <x:c r="M149" s="16" t="str">
        <x:v>https://bids.neuroimaging.io/</x:v>
      </x:c>
      <x:c r="N149" s="16" t="str">
        <x:v>https://www.nature.com/articles/sdata201644</x:v>
      </x:c>
      <x:c r="O149" s="16" t="str">
        <x:v>Synchronization comparator</x:v>
      </x:c>
      <x:c r="P149" s="16" t="str">
        <x:v>Data organization and metadata standard relevant to public ARL release.</x:v>
      </x:c>
      <x:c r="Q149" s="16" t="str">
        <x:v>Requires structured comparison against ARL sensing, interaction, decision, and synchronization features.</x:v>
      </x:c>
      <x:c r="R149" s="16" t="str">
        <x:v>Must read</x:v>
      </x:c>
      <x:c r="S149" s="16" t="str">
        <x:v>Candidate — needs primary-source verification</x:v>
      </x:c>
      <x:c r="T149" s="16" t="str">
        <x:v>Not read</x:v>
      </x:c>
      <x:c r="U149" s="16" t="str">
        <x:v>Targeted literature expansion</x:v>
      </x:c>
      <x:c r="V149" s="16" t="str">
        <x:v>Pending</x:v>
      </x:c>
      <x:c r="W149" s="16" t="str"/>
      <x:c r="X149" s="16" t="str">
        <x:v>Added during expansion from 50 to 150 records.</x:v>
      </x:c>
      <x:c r="Y149" s="16" t="str"/>
    </x:row>
    <x:row r="150">
      <x:c r="A150" s="16" t="str">
        <x:v>MDMER-0149</x:v>
      </x:c>
      <x:c r="B150" s="16" t="str">
        <x:v>Tier 1</x:v>
      </x:c>
      <x:c r="C150" s="16" t="str">
        <x:v>Acquisition and synchronization</x:v>
      </x:c>
      <x:c r="D150" s="16" t="str">
        <x:v>Methods paper</x:v>
      </x:c>
      <x:c r="E150" s="16" t="str">
        <x:v>EEG-BIDS: An Extension to the Brain Imaging Data Structure for Electroencephalography</x:v>
      </x:c>
      <x:c r="F150" s="16" t="n">
        <x:v>2019</x:v>
      </x:c>
      <x:c r="G150" s="16" t="str">
        <x:v>Pernet et al.</x:v>
      </x:c>
      <x:c r="H150" s="16" t="str"/>
      <x:c r="I150" s="16" t="str">
        <x:v>EEG; events; metadata</x:v>
      </x:c>
      <x:c r="J150" s="16" t="str">
        <x:v>N/A</x:v>
      </x:c>
      <x:c r="K150" s="16" t="str">
        <x:v>EEG data standardization</x:v>
      </x:c>
      <x:c r="L150" s="16" t="str">
        <x:v>Open standard</x:v>
      </x:c>
      <x:c r="M150" s="16" t="str">
        <x:v>https://bids-specification.readthedocs.io/</x:v>
      </x:c>
      <x:c r="N150" s="16" t="str">
        <x:v>https://www.nature.com/articles/sdata2019197</x:v>
      </x:c>
      <x:c r="O150" s="16" t="str">
        <x:v>Synchronization comparator</x:v>
      </x:c>
      <x:c r="P150" s="16" t="str">
        <x:v>Important for structured EEG/event release.</x:v>
      </x:c>
      <x:c r="Q150" s="16" t="str">
        <x:v>Requires structured comparison against ARL sensing, interaction, decision, and synchronization features.</x:v>
      </x:c>
      <x:c r="R150" s="16" t="str">
        <x:v>Must read</x:v>
      </x:c>
      <x:c r="S150" s="16" t="str">
        <x:v>Candidate — needs primary-source verification</x:v>
      </x:c>
      <x:c r="T150" s="16" t="str">
        <x:v>Not read</x:v>
      </x:c>
      <x:c r="U150" s="16" t="str">
        <x:v>Targeted literature expansion</x:v>
      </x:c>
      <x:c r="V150" s="16" t="str">
        <x:v>Pending</x:v>
      </x:c>
      <x:c r="W150" s="16" t="str"/>
      <x:c r="X150" s="16" t="str">
        <x:v>Added during expansion from 50 to 150 records.</x:v>
      </x:c>
      <x:c r="Y150" s="16" t="str"/>
    </x:row>
    <x:row r="151">
      <x:c r="A151" s="16" t="str">
        <x:v>MDMER-0150</x:v>
      </x:c>
      <x:c r="B151" s="16" t="str">
        <x:v>Tier 5</x:v>
      </x:c>
      <x:c r="C151" s="16" t="str">
        <x:v>Acquisition and synchronization</x:v>
      </x:c>
      <x:c r="D151" s="16" t="str">
        <x:v>Methods paper</x:v>
      </x:c>
      <x:c r="E151" s="16" t="str">
        <x:v>Motion-BIDS and Multimodal Behavioral Data Standardization</x:v>
      </x:c>
      <x:c r="F151" s="16" t="n">
        <x:v>2024</x:v>
      </x:c>
      <x:c r="G151" s="16" t="str">
        <x:v>Multiple authors</x:v>
      </x:c>
      <x:c r="H151" s="16" t="str"/>
      <x:c r="I151" s="16" t="str">
        <x:v>Motion; behavior; event data</x:v>
      </x:c>
      <x:c r="J151" s="16" t="str">
        <x:v>N/A</x:v>
      </x:c>
      <x:c r="K151" s="16" t="str">
        <x:v>Data standardization</x:v>
      </x:c>
      <x:c r="L151" s="16" t="str">
        <x:v>Open standard</x:v>
      </x:c>
      <x:c r="M151" s="16" t="str"/>
      <x:c r="N151" s="16" t="str">
        <x:v>https://scholar.google.com/scholar?q=Motion-BIDS+standard+movement+data+BIDS</x:v>
      </x:c>
      <x:c r="O151" s="16" t="str">
        <x:v>Background evidence</x:v>
      </x:c>
      <x:c r="P151" s="16" t="str">
        <x:v>Potential structure for behavioral/motion metadata.</x:v>
      </x:c>
      <x:c r="Q151" s="16" t="str">
        <x:v>Requires structured comparison against ARL sensing, interaction, decision, and synchronization features.</x:v>
      </x:c>
      <x:c r="R151" s="16" t="str">
        <x:v>Low</x:v>
      </x:c>
      <x:c r="S151" s="16" t="str">
        <x:v>Candidate — needs primary-source verification</x:v>
      </x:c>
      <x:c r="T151" s="16" t="str">
        <x:v>Not read</x:v>
      </x:c>
      <x:c r="U151" s="16" t="str">
        <x:v>Targeted literature expansion</x:v>
      </x:c>
      <x:c r="V151" s="16" t="str">
        <x:v>Pending</x:v>
      </x:c>
      <x:c r="W151" s="16" t="str"/>
      <x:c r="X151" s="16" t="str">
        <x:v>Added during expansion from 50 to 150 records.</x:v>
      </x:c>
      <x:c r="Y151" s="16" t="str"/>
    </x:row>
    <x:row r="152">
      <x:c r="A152" t="str">
        <x:v>MDMER-0151</x:v>
      </x:c>
      <x:c r="B152" t="str">
        <x:v>Tier 1</x:v>
      </x:c>
      <x:c r="C152" t="str">
        <x:v>Social/group neuroscience</x:v>
      </x:c>
      <x:c r="D152" t="str">
        <x:v>Research paper</x:v>
      </x:c>
      <x:c r="E152" t="str">
        <x:v>Electrophysiological Hyperscanning of Negotiation During Group-Oriented Decision-Making</x:v>
      </x:c>
      <x:c r="F152" t="n">
        <x:v>2025</x:v>
      </x:c>
      <x:c r="G152" t="str">
        <x:v>Angioletti et al.</x:v>
      </x:c>
      <x:c r="H152" t="str">
        <x:v>Università Cattolica del Sacro Cuore</x:v>
      </x:c>
      <x:c r="I152" t="str">
        <x:v>EEG hyperscanning; behavioral decision/orientation</x:v>
      </x:c>
      <x:c r="J152" t="str">
        <x:v>Dyads</x:v>
      </x:c>
      <x:c r="K152" t="str">
        <x:v>Structured negotiation toward shared decision</x:v>
      </x:c>
      <x:c r="L152" t="str">
        <x:v>Open article</x:v>
      </x:c>
      <x:c r="M152" t="str"/>
      <x:c r="N152" t="str">
        <x:v>https://doi.org/10.3390/app15116073</x:v>
      </x:c>
      <x:c r="O152" t="str">
        <x:v>Direct comparator</x:v>
      </x:c>
      <x:c r="P152" t="str">
        <x:v>Direct live negotiation and shared decision-making with simultaneous EEG hyperscanning.</x:v>
      </x:c>
      <x:c r="Q152" t="str">
        <x:v>Dyadic EEG-only experiment; no peripheral physiology, eye tracking, audiovisual dataset, repeated rounds, confidence, or deception.</x:v>
      </x:c>
      <x:c r="R152" t="str">
        <x:v>Must read</x:v>
      </x:c>
      <x:c r="S152" t="str">
        <x:v>Source checked</x:v>
      </x:c>
      <x:c r="T152" t="str">
        <x:v>Extracted</x:v>
      </x:c>
      <x:c r="U152" t="str">
        <x:v>Direct comparator audit</x:v>
      </x:c>
      <x:c r="V152" t="str">
        <x:v>Pending</x:v>
      </x:c>
      <x:c r="W152" t="str"/>
      <x:c r="X152" t="str">
        <x:v>Discovered during 25-comparator audit.</x:v>
      </x:c>
      <x:c r="Y152" t="str">
        <x:v>2026-08-25</x:v>
      </x:c>
    </x:row>
    <x:row r="153">
      <x:c r="A153" t="str">
        <x:v>MDMER-0152</x:v>
      </x:c>
      <x:c r="B153" t="str">
        <x:v>Tier 1</x:v>
      </x:c>
      <x:c r="C153" t="str">
        <x:v>Social/group neuroscience</x:v>
      </x:c>
      <x:c r="D153" t="str">
        <x:v>Research paper</x:v>
      </x:c>
      <x:c r="E153" t="str">
        <x:v>Ideal Versus Real Group Mental Representations During Communicative Exchange: A Hyperscanning Study</x:v>
      </x:c>
      <x:c r="F153" t="n">
        <x:v>2026</x:v>
      </x:c>
      <x:c r="G153" t="str">
        <x:v>Acconito et al.</x:v>
      </x:c>
      <x:c r="H153" t="str">
        <x:v>Università Cattolica del Sacro Cuore</x:v>
      </x:c>
      <x:c r="I153" t="str">
        <x:v>EEG; fNIRS; HRV/biofeedback</x:v>
      </x:c>
      <x:c r="J153" t="str">
        <x:v>Dyads</x:v>
      </x:c>
      <x:c r="K153" t="str">
        <x:v>Communicative group-decision discussion under ideal vs real representation</x:v>
      </x:c>
      <x:c r="L153" t="str">
        <x:v>Published article</x:v>
      </x:c>
      <x:c r="M153" t="str"/>
      <x:c r="N153" t="str">
        <x:v>https://pubmed.ncbi.nlm.nih.gov/41711421/</x:v>
      </x:c>
      <x:c r="O153" t="str">
        <x:v>Direct comparator</x:v>
      </x:c>
      <x:c r="P153" t="str">
        <x:v>Combines neural and autonomic hyperscanning during dyadic group-decision communication.</x:v>
      </x:c>
      <x:c r="Q153" t="str">
        <x:v>Dyadic study with limited sensor breadth; no ARL-style multimodal AV/eye stack, repeated voting/confidence or social deception.</x:v>
      </x:c>
      <x:c r="R153" t="str">
        <x:v>Must read</x:v>
      </x:c>
      <x:c r="S153" t="str">
        <x:v>Source checked</x:v>
      </x:c>
      <x:c r="T153" t="str">
        <x:v>Extracted</x:v>
      </x:c>
      <x:c r="U153" t="str">
        <x:v>Direct comparator audit</x:v>
      </x:c>
      <x:c r="V153" t="str">
        <x:v>Pending</x:v>
      </x:c>
      <x:c r="W153" t="str"/>
      <x:c r="X153" t="str">
        <x:v>Discovered during 25-comparator audit.</x:v>
      </x:c>
      <x:c r="Y153" t="str">
        <x:v>2026-08-25</x:v>
      </x:c>
    </x:row>
    <x:row r="154">
      <x:c r="A154" t="str">
        <x:v>MDMER-0153</x:v>
      </x:c>
      <x:c r="B154" t="str">
        <x:v>Tier 1</x:v>
      </x:c>
      <x:c r="C154" t="str">
        <x:v>Group decision + physiology</x:v>
      </x:c>
      <x:c r="D154" t="str">
        <x:v>Dataset paper</x:v>
      </x:c>
      <x:c r="E154" t="str">
        <x:v>Dataset of physiological, behavioral, and self-report measures from a group decision-making lab study</x:v>
      </x:c>
      <x:c r="F154" t="n">
        <x:v>2022</x:v>
      </x:c>
      <x:c r="G154" t="str">
        <x:v>Burns, Wallot, Berson &amp; Gordon</x:v>
      </x:c>
      <x:c r="H154" t="str">
        <x:v>Bar-Ilan University / Mendeley Data</x:v>
      </x:c>
      <x:c r="I154" t="str">
        <x:v>ECG; respiration; EDA; multi-angle video; behavioral coding</x:v>
      </x:c>
      <x:c r="J154" t="str">
        <x:v>Groups of 3</x:v>
      </x:c>
      <x:c r="K154" t="str">
        <x:v>Desert Survival Task; individual ranking then group consensus</x:v>
      </x:c>
      <x:c r="L154" t="str">
        <x:v>Public</x:v>
      </x:c>
      <x:c r="M154" t="str">
        <x:v>https://data.mendeley.com/datasets/w8h752hbw5/4</x:v>
      </x:c>
      <x:c r="N154" t="str">
        <x:v>https://doi.org/10.1016/j.dib.2022.108630</x:v>
      </x:c>
      <x:c r="O154" t="str">
        <x:v>Direct comparator</x:v>
      </x:c>
      <x:c r="P154" t="str">
        <x:v>Direct 3-person group decision dataset with simultaneous physiology and synchronized video.</x:v>
      </x:c>
      <x:c r="Q154" t="str">
        <x:v>No EEG, EMG, eye tracking; no repeated rounds/confidence/deception.</x:v>
      </x:c>
      <x:c r="R154" t="str">
        <x:v>Must read</x:v>
      </x:c>
      <x:c r="S154" t="str">
        <x:v>Source checked</x:v>
      </x:c>
      <x:c r="T154" t="str">
        <x:v>Extracted</x:v>
      </x:c>
      <x:c r="U154" t="str">
        <x:v>Gap-challenge search</x:v>
      </x:c>
      <x:c r="V154" t="str">
        <x:v>Pending</x:v>
      </x:c>
      <x:c r="W154" t="str"/>
      <x:c r="X154" t="str">
        <x:v>Strong direct comparator discovered in targeted gap challenge.</x:v>
      </x:c>
      <x:c r="Y154" t="str">
        <x:v>2026-08-25</x:v>
      </x:c>
    </x:row>
    <x:row r="155">
      <x:c r="A155" t="str">
        <x:v>MDMER-0154</x:v>
      </x:c>
      <x:c r="B155" t="str">
        <x:v>Tier 1</x:v>
      </x:c>
      <x:c r="C155" t="str">
        <x:v>EEG hyperscanning + adversarial group interaction</x:v>
      </x:c>
      <x:c r="D155" t="str">
        <x:v>Research paper</x:v>
      </x:c>
      <x:c r="E155" t="str">
        <x:v>Analysis of inter-brain synchrony in group-based electroencephalography to assess task-dependent interactions</x:v>
      </x:c>
      <x:c r="F155" t="n">
        <x:v>2026</x:v>
      </x:c>
      <x:c r="G155" t="str">
        <x:v>Kennedy et al.</x:v>
      </x:c>
      <x:c r="H155" t="str">
        <x:v>Trinity College Dublin</x:v>
      </x:c>
      <x:c r="I155" t="str">
        <x:v>Triadic EEG hyperscanning; video; keyboard event markers; LSL</x:v>
      </x:c>
      <x:c r="J155" t="str">
        <x:v>Groups of 3</x:v>
      </x:c>
      <x:c r="K155" t="str">
        <x:v>Repeated cooperative card-game rounds with hidden adversary manipulation</x:v>
      </x:c>
      <x:c r="L155" t="str">
        <x:v>Open article</x:v>
      </x:c>
      <x:c r="M155" t="str"/>
      <x:c r="N155" t="str">
        <x:v>https://doi.org/10.3389/fnrgo.2026.1774423</x:v>
      </x:c>
      <x:c r="O155" t="str">
        <x:v>Direct comparator</x:v>
      </x:c>
      <x:c r="P155" t="str">
        <x:v>Triadic repeated social task with EEG, hidden adversary, video and LSL synchronization.</x:v>
      </x:c>
      <x:c r="Q155" t="str">
        <x:v>No ECG/EDA/EMG/eye tracking/audio/confidence; verbal communication prohibited.</x:v>
      </x:c>
      <x:c r="R155" t="str">
        <x:v>Must read</x:v>
      </x:c>
      <x:c r="S155" t="str">
        <x:v>Source checked</x:v>
      </x:c>
      <x:c r="T155" t="str">
        <x:v>Extracted</x:v>
      </x:c>
      <x:c r="U155" t="str">
        <x:v>Gap-challenge search</x:v>
      </x:c>
      <x:c r="V155" t="str">
        <x:v>Pending</x:v>
      </x:c>
      <x:c r="W155" t="str"/>
      <x:c r="X155" t="str">
        <x:v>Closest challenge found to ARL's group/adversary/LSL architecture.</x:v>
      </x:c>
      <x:c r="Y155" t="str">
        <x:v>2026-08-25</x:v>
      </x:c>
    </x:row>
    <x:row r="156">
      <x:c r="A156" t="str">
        <x:v>MDMER-0155</x:v>
      </x:c>
      <x:c r="B156" t="str">
        <x:v>Tier 1</x:v>
      </x:c>
      <x:c r="C156" t="str">
        <x:v>Group physiology + persuasion</x:v>
      </x:c>
      <x:c r="D156" t="str">
        <x:v>Research paper</x:v>
      </x:c>
      <x:c r="E156" t="str">
        <x:v>Influencing the physiology and decisions of groups: Physiological linkage during group decision-making</x:v>
      </x:c>
      <x:c r="F156" t="n">
        <x:v>2021</x:v>
      </x:c>
      <x:c r="G156" t="str">
        <x:v>Thorson et al.</x:v>
      </x:c>
      <x:c r="H156" t="str">
        <x:v>New York University / collaborators</x:v>
      </x:c>
      <x:c r="I156" t="str">
        <x:v>Cardiac interbeat intervals; group interaction</x:v>
      </x:c>
      <x:c r="J156" t="str">
        <x:v>Groups of 5</x:v>
      </x:c>
      <x:c r="K156" t="str">
        <x:v>Consensus decision with covert high-/low-status advocates assigned to different firms</x:v>
      </x:c>
      <x:c r="L156" t="str">
        <x:v>Published article</x:v>
      </x:c>
      <x:c r="M156" t="str"/>
      <x:c r="N156" t="str">
        <x:v>https://doi.org/10.1177/1368430219890909</x:v>
      </x:c>
      <x:c r="O156" t="str">
        <x:v>Direct comparator</x:v>
      </x:c>
      <x:c r="P156" t="str">
        <x:v>Five-person decision-making with continuous physiology and covert strategic influence.</x:v>
      </x:c>
      <x:c r="Q156" t="str">
        <x:v>Only cardiac physiology; no broad multimodal stack, repeated rounds, confidence or social-deduction role structure.</x:v>
      </x:c>
      <x:c r="R156" t="str">
        <x:v>Must read</x:v>
      </x:c>
      <x:c r="S156" t="str">
        <x:v>Source checked</x:v>
      </x:c>
      <x:c r="T156" t="str">
        <x:v>Extracted</x:v>
      </x:c>
      <x:c r="U156" t="str">
        <x:v>Gap-challenge search</x:v>
      </x:c>
      <x:c r="V156" t="str">
        <x:v>Pending</x:v>
      </x:c>
      <x:c r="W156" t="str"/>
      <x:c r="X156" t="str">
        <x:v>Important because it matches ARL group size and covert strategic manipulation.</x:v>
      </x:c>
      <x:c r="Y156" t="str">
        <x:v>2026-08-25</x:v>
      </x:c>
    </x:row>
    <x:row r="157">
      <x:c r="A157" t="str">
        <x:v>MDMER-0156</x:v>
      </x:c>
      <x:c r="B157" t="str">
        <x:v>Tier 1</x:v>
      </x:c>
      <x:c r="C157" t="str">
        <x:v>Group EEG + decision</x:v>
      </x:c>
      <x:c r="D157" t="str">
        <x:v>Research paper</x:v>
      </x:c>
      <x:c r="E157" t="str">
        <x:v>Be Creative to Innovate! EEG Correlates of Group Decision-Making in Managers</x:v>
      </x:c>
      <x:c r="F157" t="n">
        <x:v>2024</x:v>
      </x:c>
      <x:c r="G157" t="str">
        <x:v>Balconi et al.</x:v>
      </x:c>
      <x:c r="H157" t="str">
        <x:v>Università Cattolica del Sacro Cuore</x:v>
      </x:c>
      <x:c r="I157" t="str">
        <x:v>Muse EEG; video; reaction time</x:v>
      </x:c>
      <x:c r="J157" t="str">
        <x:v>Groups of 3</x:v>
      </x:c>
      <x:c r="K157" t="str">
        <x:v>Individual then group Realistic Complex Problem Task with consensus negotiation</x:v>
      </x:c>
      <x:c r="L157" t="str">
        <x:v>Open article</x:v>
      </x:c>
      <x:c r="M157" t="str"/>
      <x:c r="N157" t="str">
        <x:v>https://doi.org/10.3390/su16052175</x:v>
      </x:c>
      <x:c r="O157" t="str">
        <x:v>Direct comparator</x:v>
      </x:c>
      <x:c r="P157" t="str">
        <x:v>Triplet group decision-making with continuous wearable EEG and video.</x:v>
      </x:c>
      <x:c r="Q157" t="str">
        <x:v>No peripheral physiology, eye tracking, repeated rounds, confidence or deception.</x:v>
      </x:c>
      <x:c r="R157" t="str">
        <x:v>High</x:v>
      </x:c>
      <x:c r="S157" t="str">
        <x:v>Source checked</x:v>
      </x:c>
      <x:c r="T157" t="str">
        <x:v>Extracted</x:v>
      </x:c>
      <x:c r="U157" t="str">
        <x:v>Gap-challenge search</x:v>
      </x:c>
      <x:c r="V157" t="str">
        <x:v>Pending</x:v>
      </x:c>
      <x:c r="W157" t="str"/>
      <x:c r="X157" t="str">
        <x:v>Useful neural/group consensus comparator.</x:v>
      </x:c>
      <x:c r="Y157" t="str">
        <x:v>2026-08-25</x:v>
      </x:c>
    </x:row>
    <x:row r="158">
      <x:c r="A158" t="str">
        <x:v>MDMER-0157</x:v>
      </x:c>
      <x:c r="B158" t="str">
        <x:v>Tier 1</x:v>
      </x:c>
      <x:c r="C158" t="str">
        <x:v>Group eye tracking + decision</x:v>
      </x:c>
      <x:c r="D158" t="str">
        <x:v>Research paper</x:v>
      </x:c>
      <x:c r="E158" t="str">
        <x:v>Cognitive factors on the performance of group decision-making: a behavioral and eye-tracking study</x:v>
      </x:c>
      <x:c r="F158" t="n">
        <x:v>2025</x:v>
      </x:c>
      <x:c r="G158" t="str">
        <x:v>Multiple authors</x:v>
      </x:c>
      <x:c r="H158" t="str">
        <x:v>Shanghai Jiao Tong University</x:v>
      </x:c>
      <x:c r="I158" t="str">
        <x:v>EyeLogic eye tracking 60 Hz; screen/audio recording; behavioral decision data</x:v>
      </x:c>
      <x:c r="J158" t="str">
        <x:v>Groups of 3</x:v>
      </x:c>
      <x:c r="K158" t="str">
        <x:v>Individual and group multi-attribute decision-making</x:v>
      </x:c>
      <x:c r="L158" t="str">
        <x:v>Open article</x:v>
      </x:c>
      <x:c r="M158" t="str"/>
      <x:c r="N158" t="str">
        <x:v>https://doi.org/10.3389/fnhum.2025.1551447</x:v>
      </x:c>
      <x:c r="O158" t="str">
        <x:v>Direct comparator</x:v>
      </x:c>
      <x:c r="P158" t="str">
        <x:v>Three-person group decision-making with synchronized EyeLogic gaze and behavioral process recording.</x:v>
      </x:c>
      <x:c r="Q158" t="str">
        <x:v>No neural/peripheral physiology or deception; workstation-based gaze rather than full multimodal wearable acquisition.</x:v>
      </x:c>
      <x:c r="R158" t="str">
        <x:v>High</x:v>
      </x:c>
      <x:c r="S158" t="str">
        <x:v>Source checked</x:v>
      </x:c>
      <x:c r="T158" t="str">
        <x:v>Extracted</x:v>
      </x:c>
      <x:c r="U158" t="str">
        <x:v>Gap-challenge search</x:v>
      </x:c>
      <x:c r="V158" t="str">
        <x:v>Pending</x:v>
      </x:c>
      <x:c r="W158" t="str"/>
      <x:c r="X158" t="str">
        <x:v>Important eye-tracking/group-decision comparator.</x:v>
      </x:c>
      <x:c r="Y158" t="str">
        <x:v>2026-08-25</x:v>
      </x:c>
    </x:row>
    <x:row r="159">
      <x:c r="A159" t="str">
        <x:v>MDMER-0158</x:v>
      </x:c>
      <x:c r="B159" t="str">
        <x:v>Tier 2</x:v>
      </x:c>
      <x:c r="C159" t="str">
        <x:v>Group EEG + audio</x:v>
      </x:c>
      <x:c r="D159" t="str">
        <x:v>Dataset</x:v>
      </x:c>
      <x:c r="E159" t="str">
        <x:v>EEG hyperscanning data of 13 groups of three people engaging in different types of conversations</x:v>
      </x:c>
      <x:c r="F159" t="n">
        <x:v>2026</x:v>
      </x:c>
      <x:c r="G159" t="str">
        <x:v>Ochoa de Eribe Delgado et al.</x:v>
      </x:c>
      <x:c r="H159" t="str">
        <x:v>FAU Erlangen-Nürnberg / Imperial College London / WSA Audiology</x:v>
      </x:c>
      <x:c r="I159" t="str">
        <x:v>96-channel raw EEG (32×3); directional microphones; omnidirectional microphone</x:v>
      </x:c>
      <x:c r="J159" t="str">
        <x:v>Groups of 3</x:v>
      </x:c>
      <x:c r="K159" t="str">
        <x:v>Elicited group conversations</x:v>
      </x:c>
      <x:c r="L159" t="str">
        <x:v>Public</x:v>
      </x:c>
      <x:c r="M159" t="str">
        <x:v>https://zenodo.org/records/21643064</x:v>
      </x:c>
      <x:c r="N159" t="str">
        <x:v>https://zenodo.org/records/21643064</x:v>
      </x:c>
      <x:c r="O159" t="str">
        <x:v>Social/Group Comparator</x:v>
      </x:c>
      <x:c r="P159" t="str">
        <x:v>Public triadic EEG + multi-microphone conversational hyperscanning resource.</x:v>
      </x:c>
      <x:c r="Q159" t="str">
        <x:v>No decision task, confidence, deception, peripheral physiology, eye tracking or video.</x:v>
      </x:c>
      <x:c r="R159" t="str">
        <x:v>High</x:v>
      </x:c>
      <x:c r="S159" t="str">
        <x:v>Source checked</x:v>
      </x:c>
      <x:c r="T159" t="str">
        <x:v>Extracted</x:v>
      </x:c>
      <x:c r="U159" t="str">
        <x:v>Gap-challenge search</x:v>
      </x:c>
      <x:c r="V159" t="str">
        <x:v>Pending</x:v>
      </x:c>
      <x:c r="W159" t="str"/>
      <x:c r="X159" t="str">
        <x:v>Important for ARL audio+EEG group-acquisition comparison.</x:v>
      </x:c>
      <x:c r="Y159" t="str">
        <x:v>2026-08-25</x:v>
      </x:c>
    </x:row>
    <x:row r="160">
      <x:c r="A160" t="str">
        <x:v>MDMER-0159</x:v>
      </x:c>
      <x:c r="B160" t="str">
        <x:v>Tier 2</x:v>
      </x:c>
      <x:c r="C160" t="str">
        <x:v>Multimodal deception</x:v>
      </x:c>
      <x:c r="D160" t="str">
        <x:v>Dataset paper</x:v>
      </x:c>
      <x:c r="E160" t="str">
        <x:v>MuDD: A Multimodal Deception Detection Dataset and GSR-Guided Progressive Distillation</x:v>
      </x:c>
      <x:c r="F160" t="n">
        <x:v>2026</x:v>
      </x:c>
      <x:c r="G160" t="str">
        <x:v>Jiang et al.</x:v>
      </x:c>
      <x:c r="H160" t="str">
        <x:v>Multiple institutions</x:v>
      </x:c>
      <x:c r="I160" t="str">
        <x:v>Video; audio; GSR; PPG; heart rate; personality</x:v>
      </x:c>
      <x:c r="J160" t="str">
        <x:v>Individual</x:v>
      </x:c>
      <x:c r="K160" t="str">
        <x:v>Deception detection and concealed-digit identification</x:v>
      </x:c>
      <x:c r="L160" t="str">
        <x:v>Preprint / dataset described</x:v>
      </x:c>
      <x:c r="M160" t="str"/>
      <x:c r="N160" t="str">
        <x:v>https://arxiv.org/abs/2603.26064</x:v>
      </x:c>
      <x:c r="O160" t="str">
        <x:v>Deception Comparator</x:v>
      </x:c>
      <x:c r="P160" t="str">
        <x:v>Rich contact + non-contact multimodal deception dataset.</x:v>
      </x:c>
      <x:c r="Q160" t="str">
        <x:v>Individual setting; no EEG/EMG/eye tracking/group decision/confidence.</x:v>
      </x:c>
      <x:c r="R160" t="str">
        <x:v>High</x:v>
      </x:c>
      <x:c r="S160" t="str">
        <x:v>Source checked</x:v>
      </x:c>
      <x:c r="T160" t="str">
        <x:v>Screened</x:v>
      </x:c>
      <x:c r="U160" t="str">
        <x:v>Gap-challenge search</x:v>
      </x:c>
      <x:c r="V160" t="str">
        <x:v>Pending</x:v>
      </x:c>
      <x:c r="W160" t="str"/>
      <x:c r="X160" t="str">
        <x:v>Challenges any claim that multimodal deception sensing itself is novel.</x:v>
      </x:c>
      <x:c r="Y160" t="str">
        <x:v>2026-08-25</x:v>
      </x:c>
    </x:row>
  </x:sheetData>
  <x:dataValidations count="2">
    <x:dataValidation type="list" sqref="T2:T151">
      <x:formula1>"Not read,Screened,Partial read,Full read,Extracted,Verified"</x:formula1>
    </x:dataValidation>
    <x:dataValidation type="list" sqref="V2:V151">
      <x:formula1>"Pending,Include,Exclude,Background only"</x:formula1>
    </x:dataValidation>
  </x:dataValidations>
  <x:pageMargins left="0.7" right="0.7" top="0.75" bottom="0.75" header="0.3" footer="0.3"/>
  <x:tableParts count="1">
    <x:tablePart xmlns:r="http://schemas.openxmlformats.org/officeDocument/2006/relationships" r:id="Rf9d74c66bdce4615"/>
  </x:tableParts>
</x:worksheet>
</file>

<file path=xl/worksheets/sheet3.xml><?xml version="1.0" encoding="utf-8"?>
<x:worksheet xmlns:x="http://schemas.openxmlformats.org/spreadsheetml/2006/main">
  <x:sheetFormatPr defaultRowHeight="15"/>
  <x:cols>
    <x:col min="1" max="1" width="14" hidden="0" customWidth="1"/>
    <x:col min="2" max="2" width="17" hidden="0" customWidth="1"/>
    <x:col min="3" max="3" width="24" hidden="0" customWidth="1"/>
    <x:col min="4" max="4" width="16" hidden="0" customWidth="1"/>
    <x:col min="5" max="5" width="42" hidden="0" customWidth="1"/>
    <x:col min="6" max="6" width="9" hidden="0" customWidth="1"/>
    <x:col min="7" max="7" width="22" hidden="0" customWidth="1"/>
    <x:col min="8" max="8" width="22" hidden="0" customWidth="1"/>
    <x:col min="9" max="9" width="30" hidden="0" customWidth="1"/>
    <x:col min="10" max="10" width="18" hidden="0" customWidth="1"/>
    <x:col min="11" max="11" width="28" hidden="0" customWidth="1"/>
    <x:col min="12" max="12" width="18" hidden="0" customWidth="1"/>
    <x:col min="13" max="13" width="34" hidden="0" customWidth="1"/>
    <x:col min="14" max="14" width="34" hidden="0" customWidth="1"/>
    <x:col min="15" max="15" width="25" hidden="0" customWidth="1"/>
    <x:col min="16" max="16" width="38" hidden="0" customWidth="1"/>
    <x:col min="17" max="17" width="38" hidden="0" customWidth="1"/>
    <x:col min="18" max="18" width="12" hidden="0" customWidth="1"/>
    <x:col min="19" max="19" width="26" hidden="0" customWidth="1"/>
    <x:col min="20" max="20" width="16" hidden="0" customWidth="1"/>
    <x:col min="21" max="21" width="20" hidden="0" customWidth="1"/>
    <x:col min="22" max="22" width="20" hidden="0" customWidth="1"/>
    <x:col min="23" max="23" width="22" hidden="0" customWidth="1"/>
    <x:col min="24" max="24" width="32" hidden="0" customWidth="1"/>
    <x:col min="25" max="25" width="16" hidden="0" customWidth="1"/>
  </x:cols>
  <x:sheetData>
    <x:row r="1">
      <x:c r="A1" s="5" t="str">
        <x:v>Record ID</x:v>
      </x:c>
      <x:c r="B1" s="5" t="str">
        <x:v>Evidence Relevance Tier</x:v>
      </x:c>
      <x:c r="C1" s="5" t="str">
        <x:v>Primary Category</x:v>
      </x:c>
      <x:c r="D1" s="5" t="str">
        <x:v>Record Type</x:v>
      </x:c>
      <x:c r="E1" s="5" t="str">
        <x:v>Title / Dataset</x:v>
      </x:c>
      <x:c r="F1" s="5" t="str">
        <x:v>Year</x:v>
      </x:c>
      <x:c r="G1" s="5" t="str">
        <x:v>Primary Authors / Source</x:v>
      </x:c>
      <x:c r="H1" s="5" t="str">
        <x:v>Institution / Dataset Owner</x:v>
      </x:c>
      <x:c r="I1" s="5" t="str">
        <x:v>Modalities / Signals</x:v>
      </x:c>
      <x:c r="J1" s="5" t="str">
        <x:v>Interaction Level</x:v>
      </x:c>
      <x:c r="K1" s="5" t="str">
        <x:v>Task / Paradigm</x:v>
      </x:c>
      <x:c r="L1" s="5" t="str">
        <x:v>Access Status</x:v>
      </x:c>
      <x:c r="M1" s="5" t="str">
        <x:v>Dataset / Access URL</x:v>
      </x:c>
      <x:c r="N1" s="5" t="str">
        <x:v>Paper / Reference URL</x:v>
      </x:c>
      <x:c r="O1" s="5" t="str">
        <x:v>Evidence Role</x:v>
      </x:c>
      <x:c r="P1" s="5" t="str">
        <x:v>Relevance to Synchronized Decision-Making</x:v>
      </x:c>
      <x:c r="Q1" s="5" t="str">
        <x:v>Key Difference vs Proposed ARL Dataset</x:v>
      </x:c>
      <x:c r="R1" s="5" t="str">
        <x:v>Priority</x:v>
      </x:c>
      <x:c r="S1" s="5" t="str">
        <x:v>Verification Status</x:v>
      </x:c>
      <x:c r="T1" s="5" t="str">
        <x:v>Reading Status</x:v>
      </x:c>
      <x:c r="U1" s="5" t="str">
        <x:v>Discovery Method</x:v>
      </x:c>
      <x:c r="V1" s="5" t="str">
        <x:v>Systematic Review Eligibility</x:v>
      </x:c>
      <x:c r="W1" s="5" t="str">
        <x:v>Exclusion Reason</x:v>
      </x:c>
      <x:c r="X1" s="5" t="str">
        <x:v>Notes</x:v>
      </x:c>
      <x:c r="Y1" s="5" t="str">
        <x:v>Source Verified Date</x:v>
      </x:c>
    </x:row>
    <x:row r="2">
      <x:c r="A2" s="16" t="str">
        <x:v>MDMER-0001</x:v>
      </x:c>
      <x:c r="B2" s="16" t="str">
        <x:v>Tier 1</x:v>
      </x:c>
      <x:c r="C2" s="16" t="str">
        <x:v>Core multimodal datasets</x:v>
      </x:c>
      <x:c r="D2" s="16" t="str">
        <x:v>Dataset paper</x:v>
      </x:c>
      <x:c r="E2" s="16" t="str">
        <x:v>AMIGOS: A Dataset for Affect, Personality and Mood Research on Individuals and Groups</x:v>
      </x:c>
      <x:c r="F2" s="16" t="n">
        <x:v>2017</x:v>
      </x:c>
      <x:c r="G2" s="16" t="str">
        <x:v>Miranda-Correa et al.</x:v>
      </x:c>
      <x:c r="H2" s="16" t="str"/>
      <x:c r="I2" s="16" t="str">
        <x:v>EEG; ECG; GSR; frontal HD video; RGB/depth video</x:v>
      </x:c>
      <x:c r="J2" s="16" t="str">
        <x:v>Individual + groups</x:v>
      </x:c>
      <x:c r="K2" s="16" t="str">
        <x:v>Affective video viewing</x:v>
      </x:c>
      <x:c r="L2" s="16" t="str">
        <x:v>Registration/public academic</x:v>
      </x:c>
      <x:c r="M2" s="16" t="str">
        <x:v>http://www.eecs.qmul.ac.uk/mmv/datasets/amigos/download.html</x:v>
      </x:c>
      <x:c r="N2" s="16" t="str">
        <x:v>https://arxiv.org/abs/1702.02510</x:v>
      </x:c>
      <x:c r="O2" s="16" t="str">
        <x:v>Direct comparator</x:v>
      </x:c>
      <x:c r="P2" s="16" t="str">
        <x:v>Closest prior dataset combining wearable physiology with group context.</x:v>
      </x:c>
      <x:c r="Q2" s="16" t="str">
        <x:v>No eye tracking, EMG, individual microphones, social deduction, voting, confidence, or reasoning rounds.</x:v>
      </x:c>
      <x:c r="R2" s="16" t="str">
        <x:v>Must read</x:v>
      </x:c>
      <x:c r="S2" s="16" t="str">
        <x:v>Legacy entry — re-verification required</x:v>
      </x:c>
      <x:c r="T2" s="16" t="str">
        <x:v>Not read</x:v>
      </x:c>
      <x:c r="U2" s="16" t="str">
        <x:v>Existing ARL literature</x:v>
      </x:c>
      <x:c r="V2" s="16" t="str">
        <x:v>Pending</x:v>
      </x:c>
      <x:c r="W2" s="16" t="str"/>
      <x:c r="X2" s="16" t="str">
        <x:v>Download/request access</x:v>
      </x:c>
      <x:c r="Y2" s="16" t="str"/>
    </x:row>
    <x:row r="3">
      <x:c r="A3" s="16" t="str">
        <x:v>MDMER-0002</x:v>
      </x:c>
      <x:c r="B3" s="16" t="str">
        <x:v>Tier 1</x:v>
      </x:c>
      <x:c r="C3" s="16" t="str">
        <x:v>Core multimodal datasets</x:v>
      </x:c>
      <x:c r="D3" s="16" t="str">
        <x:v>Dataset paper</x:v>
      </x:c>
      <x:c r="E3" s="16" t="str">
        <x:v>MAHNOB-HCI: A Multimodal Database for Affect Recognition and Implicit Tagging</x:v>
      </x:c>
      <x:c r="F3" s="16" t="n">
        <x:v>2011</x:v>
      </x:c>
      <x:c r="G3" s="16" t="str">
        <x:v>Soleymani et al.</x:v>
      </x:c>
      <x:c r="H3" s="16" t="str"/>
      <x:c r="I3" s="16" t="str">
        <x:v>EEG; ECG; GSR; eye gaze; audio; video</x:v>
      </x:c>
      <x:c r="J3" s="16" t="str">
        <x:v>Individual</x:v>
      </x:c>
      <x:c r="K3" s="16" t="str">
        <x:v>Affective stimuli / implicit tagging</x:v>
      </x:c>
      <x:c r="L3" s="16" t="str">
        <x:v>Registration</x:v>
      </x:c>
      <x:c r="M3" s="16" t="str">
        <x:v>https://mahnob-db.eu/hci-tagging/</x:v>
      </x:c>
      <x:c r="N3" s="16" t="str">
        <x:v>https://ieeexplore.ieee.org/document/5975141/</x:v>
      </x:c>
      <x:c r="O3" s="16" t="str">
        <x:v>Direct comparator</x:v>
      </x:c>
      <x:c r="P3" s="16" t="str">
        <x:v>Classic multimodal physiology + audiovisual benchmark.</x:v>
      </x:c>
      <x:c r="Q3" s="16" t="str">
        <x:v>Single participant; no group interaction or decision-making.</x:v>
      </x:c>
      <x:c r="R3" s="16" t="str">
        <x:v>Must read</x:v>
      </x:c>
      <x:c r="S3" s="16" t="str">
        <x:v>Legacy entry — re-verification required</x:v>
      </x:c>
      <x:c r="T3" s="16" t="str">
        <x:v>Not read</x:v>
      </x:c>
      <x:c r="U3" s="16" t="str">
        <x:v>Existing ARL literature</x:v>
      </x:c>
      <x:c r="V3" s="16" t="str">
        <x:v>Pending</x:v>
      </x:c>
      <x:c r="W3" s="16" t="str"/>
      <x:c r="X3" s="16" t="str">
        <x:v>Use for acquisition and metadata comparison</x:v>
      </x:c>
      <x:c r="Y3" s="16" t="str"/>
    </x:row>
    <x:row r="4">
      <x:c r="A4" s="16" t="str">
        <x:v>MDMER-0003</x:v>
      </x:c>
      <x:c r="B4" s="16" t="str">
        <x:v>Tier 1</x:v>
      </x:c>
      <x:c r="C4" s="16" t="str">
        <x:v>Core multimodal datasets</x:v>
      </x:c>
      <x:c r="D4" s="16" t="str">
        <x:v>Dataset paper</x:v>
      </x:c>
      <x:c r="E4" s="16" t="str">
        <x:v>K-EmoCon: A Multimodal Sensor Dataset for Continuous Emotion Recognition in Naturalistic Conversations</x:v>
      </x:c>
      <x:c r="F4" s="16" t="n">
        <x:v>2020</x:v>
      </x:c>
      <x:c r="G4" s="16" t="str">
        <x:v>Park et al.</x:v>
      </x:c>
      <x:c r="H4" s="16" t="str"/>
      <x:c r="I4" s="16" t="str">
        <x:v>EEG; PPG; EDA/GSR; HR; audio; video; annotations</x:v>
      </x:c>
      <x:c r="J4" s="16" t="str">
        <x:v>Dyads</x:v>
      </x:c>
      <x:c r="K4" s="16" t="str">
        <x:v>Paired debate / natural conversation</x:v>
      </x:c>
      <x:c r="L4" s="16" t="str">
        <x:v>Public</x:v>
      </x:c>
      <x:c r="M4" s="16" t="str">
        <x:v>https://zenodo.org/records/3762962</x:v>
      </x:c>
      <x:c r="N4" s="16" t="str">
        <x:v>https://www.nature.com/articles/s41597-020-00630-y</x:v>
      </x:c>
      <x:c r="O4" s="16" t="str">
        <x:v>Direct comparator</x:v>
      </x:c>
      <x:c r="P4" s="16" t="str">
        <x:v>Naturalistic interaction with EEG and peripheral physiology.</x:v>
      </x:c>
      <x:c r="Q4" s="16" t="str">
        <x:v>Only dyads; emotion focus; no deception/game structure or voting.</x:v>
      </x:c>
      <x:c r="R4" s="16" t="str">
        <x:v>Must read</x:v>
      </x:c>
      <x:c r="S4" s="16" t="str">
        <x:v>Legacy entry — re-verification required</x:v>
      </x:c>
      <x:c r="T4" s="16" t="str">
        <x:v>Not read</x:v>
      </x:c>
      <x:c r="U4" s="16" t="str">
        <x:v>Existing ARL literature</x:v>
      </x:c>
      <x:c r="V4" s="16" t="str">
        <x:v>Pending</x:v>
      </x:c>
      <x:c r="W4" s="16" t="str"/>
      <x:c r="X4" s="16" t="str">
        <x:v>Very useful for annotation design</x:v>
      </x:c>
      <x:c r="Y4" s="16" t="str"/>
    </x:row>
    <x:row r="5">
      <x:c r="A5" s="16" t="str">
        <x:v>MDMER-0004</x:v>
      </x:c>
      <x:c r="B5" s="16" t="str">
        <x:v>Tier 1</x:v>
      </x:c>
      <x:c r="C5" s="16" t="str">
        <x:v>Core multimodal datasets</x:v>
      </x:c>
      <x:c r="D5" s="16" t="str">
        <x:v>Dataset paper</x:v>
      </x:c>
      <x:c r="E5" s="16" t="str">
        <x:v>DEAP: A Database for Emotion Analysis using Physiological Signals</x:v>
      </x:c>
      <x:c r="F5" s="16" t="n">
        <x:v>2012</x:v>
      </x:c>
      <x:c r="G5" s="16" t="str">
        <x:v>Koelstra et al.</x:v>
      </x:c>
      <x:c r="H5" s="16" t="str"/>
      <x:c r="I5" s="16" t="str">
        <x:v>EEG; EMG; EOG; GSR; respiration; skin temperature; face video</x:v>
      </x:c>
      <x:c r="J5" s="16" t="str">
        <x:v>Individual</x:v>
      </x:c>
      <x:c r="K5" s="16" t="str">
        <x:v>Music video emotion elicitation</x:v>
      </x:c>
      <x:c r="L5" s="16" t="str">
        <x:v>Registration</x:v>
      </x:c>
      <x:c r="M5" s="16" t="str">
        <x:v>https://www.eecs.qmul.ac.uk/mmv/datasets/deap/download.html</x:v>
      </x:c>
      <x:c r="N5" s="16" t="str">
        <x:v>https://research.utwente.nl/en/publications/deap-a-database-for-emotion-analysis-using-physiological-signals/</x:v>
      </x:c>
      <x:c r="O5" s="16" t="str">
        <x:v>Direct comparator</x:v>
      </x:c>
      <x:c r="P5" s="16" t="str">
        <x:v>Canonical multimodal physiological benchmark.</x:v>
      </x:c>
      <x:c r="Q5" s="16" t="str">
        <x:v>Individual passive viewing; no social interaction or real-time group task.</x:v>
      </x:c>
      <x:c r="R5" s="16" t="str">
        <x:v>Must read</x:v>
      </x:c>
      <x:c r="S5" s="16" t="str">
        <x:v>Legacy entry — re-verification required</x:v>
      </x:c>
      <x:c r="T5" s="16" t="str">
        <x:v>Not read</x:v>
      </x:c>
      <x:c r="U5" s="16" t="str">
        <x:v>Existing ARL literature</x:v>
      </x:c>
      <x:c r="V5" s="16" t="str">
        <x:v>Pending</x:v>
      </x:c>
      <x:c r="W5" s="16" t="str"/>
      <x:c r="X5" s="16" t="str">
        <x:v>Expected citation in affective computing</x:v>
      </x:c>
      <x:c r="Y5" s="16" t="str"/>
    </x:row>
    <x:row r="6">
      <x:c r="A6" s="16" t="str">
        <x:v>MDMER-0005</x:v>
      </x:c>
      <x:c r="B6" s="16" t="str">
        <x:v>Tier 1</x:v>
      </x:c>
      <x:c r="C6" s="16" t="str">
        <x:v>Core multimodal datasets</x:v>
      </x:c>
      <x:c r="D6" s="16" t="str">
        <x:v>Dataset paper</x:v>
      </x:c>
      <x:c r="E6" s="16" t="str">
        <x:v>GroupAffect-4: A Multimodal Dataset of Four-Person Collaborative Interaction</x:v>
      </x:c>
      <x:c r="F6" s="16" t="n">
        <x:v>2026</x:v>
      </x:c>
      <x:c r="G6" s="16" t="str">
        <x:v>Jamshidi Seikavandi et al.</x:v>
      </x:c>
      <x:c r="H6" s="16" t="str"/>
      <x:c r="I6" s="16" t="str">
        <x:v>Wrist physiology; eye-tracking glasses; close-talk microphones; self-report; task outcomes</x:v>
      </x:c>
      <x:c r="J6" s="16" t="str">
        <x:v>Four-person groups</x:v>
      </x:c>
      <x:c r="K6" s="16" t="str">
        <x:v>Hidden-profile decision; negotiation; idea generation; public-goods game</x:v>
      </x:c>
      <x:c r="L6" s="16" t="str">
        <x:v>Public</x:v>
      </x:c>
      <x:c r="M6" s="16" t="str">
        <x:v>https://zenodo.org/records/20037847</x:v>
      </x:c>
      <x:c r="N6" s="16" t="str">
        <x:v>https://arxiv.org/abs/2605.19765</x:v>
      </x:c>
      <x:c r="O6" s="16" t="str">
        <x:v>Direct comparator</x:v>
      </x:c>
      <x:c r="P6" s="16" t="str">
        <x:v>Closest modern comparison for ARL group interaction and LSL-style synchronized multimodal collection.</x:v>
      </x:c>
      <x:c r="Q6" s="16" t="str">
        <x:v>No EEG/EMG; not social deduction; four-person not five-person.</x:v>
      </x:c>
      <x:c r="R6" s="16" t="str">
        <x:v>Must read</x:v>
      </x:c>
      <x:c r="S6" s="16" t="str">
        <x:v>Legacy entry — re-verification required</x:v>
      </x:c>
      <x:c r="T6" s="16" t="str">
        <x:v>Not read</x:v>
      </x:c>
      <x:c r="U6" s="16" t="str">
        <x:v>Existing ARL literature</x:v>
      </x:c>
      <x:c r="V6" s="16" t="str">
        <x:v>Pending</x:v>
      </x:c>
      <x:c r="W6" s="16" t="str"/>
      <x:c r="X6" s="16" t="str">
        <x:v>Highest priority after ARL protocol</x:v>
      </x:c>
      <x:c r="Y6" s="16" t="str"/>
    </x:row>
    <x:row r="7">
      <x:c r="A7" s="16" t="str">
        <x:v>MDMER-0006</x:v>
      </x:c>
      <x:c r="B7" s="16" t="str">
        <x:v>Tier 1</x:v>
      </x:c>
      <x:c r="C7" s="16" t="str">
        <x:v>Social affect / dyadic datasets</x:v>
      </x:c>
      <x:c r="D7" s="16" t="str">
        <x:v>Dataset paper</x:v>
      </x:c>
      <x:c r="E7" s="16" t="str">
        <x:v>RECOLA: Remote Collaborative and Affective Interactions</x:v>
      </x:c>
      <x:c r="F7" s="16" t="n">
        <x:v>2013</x:v>
      </x:c>
      <x:c r="G7" s="16" t="str">
        <x:v>Ringeval et al.</x:v>
      </x:c>
      <x:c r="H7" s="16" t="str"/>
      <x:c r="I7" s="16" t="str">
        <x:v>Audio; video; ECG; EDA</x:v>
      </x:c>
      <x:c r="J7" s="16" t="str">
        <x:v>Dyads</x:v>
      </x:c>
      <x:c r="K7" s="16" t="str">
        <x:v>Remote collaborative task</x:v>
      </x:c>
      <x:c r="L7" s="16" t="str">
        <x:v>Academic access</x:v>
      </x:c>
      <x:c r="M7" s="16" t="str">
        <x:v>https://recola.human-ist.ch/</x:v>
      </x:c>
      <x:c r="N7" s="16" t="str">
        <x:v>https://recola.human-ist.ch/data/emoSPACE13_RECOLA_Database.pdf</x:v>
      </x:c>
      <x:c r="O7" s="16" t="str">
        <x:v>Social/Group Comparator</x:v>
      </x:c>
      <x:c r="P7" s="16" t="str">
        <x:v>Strong example of synchronized affective dyadic interaction.</x:v>
      </x:c>
      <x:c r="Q7" s="16" t="str">
        <x:v>No EEG/eye tracking/EMG; dyadic remote collaboration.</x:v>
      </x:c>
      <x:c r="R7" s="16" t="str">
        <x:v>High</x:v>
      </x:c>
      <x:c r="S7" s="16" t="str">
        <x:v>Legacy entry — re-verification required</x:v>
      </x:c>
      <x:c r="T7" s="16" t="str">
        <x:v>Not read</x:v>
      </x:c>
      <x:c r="U7" s="16" t="str">
        <x:v>Existing ARL literature</x:v>
      </x:c>
      <x:c r="V7" s="16" t="str">
        <x:v>Pending</x:v>
      </x:c>
      <x:c r="W7" s="16" t="str"/>
      <x:c r="X7" s="16" t="str">
        <x:v>Useful for continuous annotation and sync</x:v>
      </x:c>
      <x:c r="Y7" s="16" t="str"/>
    </x:row>
    <x:row r="8">
      <x:c r="A8" s="16" t="str">
        <x:v>MDMER-0007</x:v>
      </x:c>
      <x:c r="B8" s="16" t="str">
        <x:v>Tier 1</x:v>
      </x:c>
      <x:c r="C8" s="16" t="str">
        <x:v>Social interaction datasets</x:v>
      </x:c>
      <x:c r="D8" s="16" t="str">
        <x:v>Dataset paper</x:v>
      </x:c>
      <x:c r="E8" s="16" t="str">
        <x:v>SEWA DB: Audio-Visual Emotion and Sentiment Research in the Wild</x:v>
      </x:c>
      <x:c r="F8" s="16" t="n">
        <x:v>2021</x:v>
      </x:c>
      <x:c r="G8" s="16" t="str">
        <x:v>Kossaifi et al.</x:v>
      </x:c>
      <x:c r="H8" s="16" t="str"/>
      <x:c r="I8" s="16" t="str">
        <x:v>Audio; video; facial landmarks; action units; vocal cues</x:v>
      </x:c>
      <x:c r="J8" s="16" t="str">
        <x:v>Dyads</x:v>
      </x:c>
      <x:c r="K8" s="16" t="str">
        <x:v>Natural web-based conversations</x:v>
      </x:c>
      <x:c r="L8" s="16" t="str">
        <x:v>Research access</x:v>
      </x:c>
      <x:c r="M8" s="16" t="str">
        <x:v>http://db.sewaproject.eu/</x:v>
      </x:c>
      <x:c r="N8" s="16" t="str">
        <x:v>https://pubmed.ncbi.nlm.nih.gov/31581074/</x:v>
      </x:c>
      <x:c r="O8" s="16" t="str">
        <x:v>Social/Group Comparator</x:v>
      </x:c>
      <x:c r="P8" s="16" t="str">
        <x:v>Useful for in-the-wild audiovisual affect and dyadic interaction.</x:v>
      </x:c>
      <x:c r="Q8" s="16" t="str">
        <x:v>No physiology; not group decision making.</x:v>
      </x:c>
      <x:c r="R8" s="16" t="str">
        <x:v>High</x:v>
      </x:c>
      <x:c r="S8" s="16" t="str">
        <x:v>Legacy entry — re-verification required</x:v>
      </x:c>
      <x:c r="T8" s="16" t="str">
        <x:v>Not read</x:v>
      </x:c>
      <x:c r="U8" s="16" t="str">
        <x:v>Existing ARL literature</x:v>
      </x:c>
      <x:c r="V8" s="16" t="str">
        <x:v>Pending</x:v>
      </x:c>
      <x:c r="W8" s="16" t="str"/>
      <x:c r="X8" s="16" t="str">
        <x:v>Relevant to audio/video annotation</x:v>
      </x:c>
      <x:c r="Y8" s="16" t="str"/>
    </x:row>
    <x:row r="9">
      <x:c r="A9" s="16" t="str">
        <x:v>MDMER-0008</x:v>
      </x:c>
      <x:c r="B9" s="16" t="str">
        <x:v>Tier 1</x:v>
      </x:c>
      <x:c r="C9" s="16" t="str">
        <x:v>Meeting / group interaction</x:v>
      </x:c>
      <x:c r="D9" s="16" t="str">
        <x:v>Dataset paper</x:v>
      </x:c>
      <x:c r="E9" s="16" t="str">
        <x:v>AMI Meeting Corpus</x:v>
      </x:c>
      <x:c r="F9" s="16" t="n">
        <x:v>2005</x:v>
      </x:c>
      <x:c r="G9" s="16" t="str">
        <x:v>Carletta et al.</x:v>
      </x:c>
      <x:c r="H9" s="16" t="str"/>
      <x:c r="I9" s="16" t="str">
        <x:v>Individual and room microphones; video; projector; whiteboard; transcripts</x:v>
      </x:c>
      <x:c r="J9" s="16" t="str">
        <x:v>Groups</x:v>
      </x:c>
      <x:c r="K9" s="16" t="str">
        <x:v>Scenario-driven and natural meetings</x:v>
      </x:c>
      <x:c r="L9" s="16" t="str">
        <x:v>Public/research</x:v>
      </x:c>
      <x:c r="M9" s="16" t="str">
        <x:v>https://groups.inf.ed.ac.uk/ami/corpus/</x:v>
      </x:c>
      <x:c r="N9" s="16" t="str">
        <x:v>https://link.springer.com/chapter/10.1007/11677482_3</x:v>
      </x:c>
      <x:c r="O9" s="16" t="str">
        <x:v>Background Evidence</x:v>
      </x:c>
      <x:c r="P9" s="16" t="str">
        <x:v>Foundational multimodal group interaction dataset.</x:v>
      </x:c>
      <x:c r="Q9" s="16" t="str">
        <x:v>No physiology; meeting task not deception or uncertainty voting.</x:v>
      </x:c>
      <x:c r="R9" s="16" t="str">
        <x:v>High</x:v>
      </x:c>
      <x:c r="S9" s="16" t="str">
        <x:v>Legacy entry — re-verification required</x:v>
      </x:c>
      <x:c r="T9" s="16" t="str">
        <x:v>Not read</x:v>
      </x:c>
      <x:c r="U9" s="16" t="str">
        <x:v>Existing ARL literature</x:v>
      </x:c>
      <x:c r="V9" s="16" t="str">
        <x:v>Pending</x:v>
      </x:c>
      <x:c r="W9" s="16" t="str"/>
      <x:c r="X9" s="16" t="str">
        <x:v>Useful for mic/camera setup comparison</x:v>
      </x:c>
      <x:c r="Y9" s="16" t="str"/>
    </x:row>
    <x:row r="10">
      <x:c r="A10" s="16" t="str">
        <x:v>MDMER-0009</x:v>
      </x:c>
      <x:c r="B10" s="16" t="str">
        <x:v>Tier 1</x:v>
      </x:c>
      <x:c r="C10" s="16" t="str">
        <x:v>Eye tracking + EEG</x:v>
      </x:c>
      <x:c r="D10" s="16" t="str">
        <x:v>Dataset paper</x:v>
      </x:c>
      <x:c r="E10" s="16" t="str">
        <x:v>EEGEyeNet: Simultaneous EEG and Eye-tracking Dataset and Benchmark</x:v>
      </x:c>
      <x:c r="F10" s="16" t="n">
        <x:v>2021</x:v>
      </x:c>
      <x:c r="G10" s="16" t="str">
        <x:v>Kastrati et al.</x:v>
      </x:c>
      <x:c r="H10" s="16" t="str"/>
      <x:c r="I10" s="16" t="str">
        <x:v>EEG; eye tracking</x:v>
      </x:c>
      <x:c r="J10" s="16" t="str">
        <x:v>Individual</x:v>
      </x:c>
      <x:c r="K10" s="16" t="str">
        <x:v>Eye movement prediction paradigms</x:v>
      </x:c>
      <x:c r="L10" s="16" t="str">
        <x:v>Public</x:v>
      </x:c>
      <x:c r="M10" s="16" t="str">
        <x:v>https://github.com/ardkastrati/EEGEyeNet</x:v>
      </x:c>
      <x:c r="N10" s="16" t="str">
        <x:v>https://arxiv.org/abs/2111.05100</x:v>
      </x:c>
      <x:c r="O10" s="16" t="str">
        <x:v>Modality Comparator</x:v>
      </x:c>
      <x:c r="P10" s="16" t="str">
        <x:v>Important EEG-eye tracking synchronization and benchmark reference.</x:v>
      </x:c>
      <x:c r="Q10" s="16" t="str">
        <x:v>No physiology beyond EEG; no interaction or decisions.</x:v>
      </x:c>
      <x:c r="R10" s="16" t="str">
        <x:v>High</x:v>
      </x:c>
      <x:c r="S10" s="16" t="str">
        <x:v>Legacy entry — re-verification required</x:v>
      </x:c>
      <x:c r="T10" s="16" t="str">
        <x:v>Not read</x:v>
      </x:c>
      <x:c r="U10" s="16" t="str">
        <x:v>Existing ARL literature</x:v>
      </x:c>
      <x:c r="V10" s="16" t="str">
        <x:v>Pending</x:v>
      </x:c>
      <x:c r="W10" s="16" t="str"/>
      <x:c r="X10" s="16" t="str">
        <x:v>Useful for EyeLogic + EEG preprocessing</x:v>
      </x:c>
      <x:c r="Y10" s="16" t="str"/>
    </x:row>
    <x:row r="11">
      <x:c r="A11" s="16" t="str">
        <x:v>MDMER-0011</x:v>
      </x:c>
      <x:c r="B11" s="16" t="str">
        <x:v>Tier 2</x:v>
      </x:c>
      <x:c r="C11" s="16" t="str">
        <x:v>Physiological affect datasets</x:v>
      </x:c>
      <x:c r="D11" s="16" t="str">
        <x:v>Dataset paper</x:v>
      </x:c>
      <x:c r="E11" s="16" t="str">
        <x:v>ASCERTAIN: A Database for Implicit Personality and Affect Recognition</x:v>
      </x:c>
      <x:c r="F11" s="16" t="n">
        <x:v>2016</x:v>
      </x:c>
      <x:c r="G11" s="16" t="str">
        <x:v>Subramanian et al.</x:v>
      </x:c>
      <x:c r="H11" s="16" t="str"/>
      <x:c r="I11" s="16" t="str">
        <x:v>EEG; ECG; GSR; facial video; personality/self-report</x:v>
      </x:c>
      <x:c r="J11" s="16" t="str">
        <x:v>Individual</x:v>
      </x:c>
      <x:c r="K11" s="16" t="str">
        <x:v>Affective video viewing</x:v>
      </x:c>
      <x:c r="L11" s="16" t="str">
        <x:v>Research access</x:v>
      </x:c>
      <x:c r="M11" s="16" t="str">
        <x:v>http://ascertain-dataset.github.io/</x:v>
      </x:c>
      <x:c r="N11" s="16" t="str">
        <x:v>https://ieeexplore.ieee.org/document/7740927/</x:v>
      </x:c>
      <x:c r="O11" s="16" t="str">
        <x:v>Background Evidence</x:v>
      </x:c>
      <x:c r="P11" s="16" t="str">
        <x:v>Adds personality and affect to multimodal physiology.</x:v>
      </x:c>
      <x:c r="Q11" s="16" t="str">
        <x:v>No group interaction; no decision-making task.</x:v>
      </x:c>
      <x:c r="R11" s="16" t="str">
        <x:v>Medium</x:v>
      </x:c>
      <x:c r="S11" s="16" t="str">
        <x:v>Legacy entry — re-verification required</x:v>
      </x:c>
      <x:c r="T11" s="16" t="str">
        <x:v>Not read</x:v>
      </x:c>
      <x:c r="U11" s="16" t="str">
        <x:v>Existing ARL literature</x:v>
      </x:c>
      <x:c r="V11" s="16" t="str">
        <x:v>Pending</x:v>
      </x:c>
      <x:c r="W11" s="16" t="str"/>
      <x:c r="X11" s="16" t="str">
        <x:v>May need access link verification</x:v>
      </x:c>
      <x:c r="Y11" s="16" t="str"/>
    </x:row>
    <x:row r="12">
      <x:c r="A12" s="16" t="str">
        <x:v>MDMER-0012</x:v>
      </x:c>
      <x:c r="B12" s="16" t="str">
        <x:v>Tier 2</x:v>
      </x:c>
      <x:c r="C12" s="16" t="str">
        <x:v>Physiological affect datasets</x:v>
      </x:c>
      <x:c r="D12" s="16" t="str">
        <x:v>Dataset paper</x:v>
      </x:c>
      <x:c r="E12" s="16" t="str">
        <x:v>DREAMER: A Database for Emotion Recognition Through EEG and ECG Signals</x:v>
      </x:c>
      <x:c r="F12" s="16" t="n">
        <x:v>2018</x:v>
      </x:c>
      <x:c r="G12" s="16" t="str">
        <x:v>Katsigiannis &amp; Ramzan</x:v>
      </x:c>
      <x:c r="H12" s="16" t="str"/>
      <x:c r="I12" s="16" t="str">
        <x:v>EEG; ECG</x:v>
      </x:c>
      <x:c r="J12" s="16" t="str">
        <x:v>Individual</x:v>
      </x:c>
      <x:c r="K12" s="16" t="str">
        <x:v>Affective audio-visual stimuli</x:v>
      </x:c>
      <x:c r="L12" s="16" t="str">
        <x:v>Public/research</x:v>
      </x:c>
      <x:c r="M12" s="16" t="str">
        <x:v>https://zenodo.org/record/546113</x:v>
      </x:c>
      <x:c r="N12" s="16" t="str">
        <x:v>https://ieeexplore.ieee.org/document/7880584/</x:v>
      </x:c>
      <x:c r="O12" s="16" t="str">
        <x:v>Background Evidence</x:v>
      </x:c>
      <x:c r="P12" s="16" t="str">
        <x:v>Useful compact EEG+ECG benchmark.</x:v>
      </x:c>
      <x:c r="Q12" s="16" t="str">
        <x:v>No GSR/EMG/eye/audio interaction.</x:v>
      </x:c>
      <x:c r="R12" s="16" t="str">
        <x:v>Medium</x:v>
      </x:c>
      <x:c r="S12" s="16" t="str">
        <x:v>Legacy entry — re-verification required</x:v>
      </x:c>
      <x:c r="T12" s="16" t="str">
        <x:v>Not read</x:v>
      </x:c>
      <x:c r="U12" s="16" t="str">
        <x:v>Existing ARL literature</x:v>
      </x:c>
      <x:c r="V12" s="16" t="str">
        <x:v>Pending</x:v>
      </x:c>
      <x:c r="W12" s="16" t="str"/>
      <x:c r="X12" s="16" t="str">
        <x:v>Good baseline physiology dataset</x:v>
      </x:c>
      <x:c r="Y12" s="16" t="str"/>
    </x:row>
    <x:row r="13">
      <x:c r="A13" s="16" t="str">
        <x:v>MDMER-0013</x:v>
      </x:c>
      <x:c r="B13" s="16" t="str">
        <x:v>Tier 2</x:v>
      </x:c>
      <x:c r="C13" s="16" t="str">
        <x:v>Physiological affect datasets</x:v>
      </x:c>
      <x:c r="D13" s="16" t="str">
        <x:v>Dataset paper</x:v>
      </x:c>
      <x:c r="E13" s="16" t="str">
        <x:v>CASE: Continuously Annotated Signals of Emotion Dataset</x:v>
      </x:c>
      <x:c r="F13" s="16" t="n">
        <x:v>2019</x:v>
      </x:c>
      <x:c r="G13" s="16" t="str">
        <x:v>Sharma et al.</x:v>
      </x:c>
      <x:c r="H13" s="16" t="str"/>
      <x:c r="I13" s="16" t="str">
        <x:v>ECG; BVP; EMG; GSR/EDA; respiration; skin temperature</x:v>
      </x:c>
      <x:c r="J13" s="16" t="str">
        <x:v>Individual</x:v>
      </x:c>
      <x:c r="K13" s="16" t="str">
        <x:v>Video emotion elicitation</x:v>
      </x:c>
      <x:c r="L13" s="16" t="str">
        <x:v>Public</x:v>
      </x:c>
      <x:c r="M13" s="16" t="str">
        <x:v>https://springernature.figshare.com/collections/CASE_Dataset/4260668</x:v>
      </x:c>
      <x:c r="N13" s="16" t="str">
        <x:v>https://www.nature.com/articles/s41597-019-0209-0</x:v>
      </x:c>
      <x:c r="O13" s="16" t="str">
        <x:v>Background Evidence</x:v>
      </x:c>
      <x:c r="P13" s="16" t="str">
        <x:v>High-quality synchronized physiological recordings with continuous annotations.</x:v>
      </x:c>
      <x:c r="Q13" s="16" t="str">
        <x:v>No EEG/eye tracking/group interaction.</x:v>
      </x:c>
      <x:c r="R13" s="16" t="str">
        <x:v>Medium</x:v>
      </x:c>
      <x:c r="S13" s="16" t="str">
        <x:v>Legacy entry — re-verification required</x:v>
      </x:c>
      <x:c r="T13" s="16" t="str">
        <x:v>Not read</x:v>
      </x:c>
      <x:c r="U13" s="16" t="str">
        <x:v>Existing ARL literature</x:v>
      </x:c>
      <x:c r="V13" s="16" t="str">
        <x:v>Pending</x:v>
      </x:c>
      <x:c r="W13" s="16" t="str"/>
      <x:c r="X13" s="16" t="str">
        <x:v>Use for annotation and physiology QC</x:v>
      </x:c>
      <x:c r="Y13" s="16" t="str"/>
    </x:row>
    <x:row r="14">
      <x:c r="A14" s="16" t="str">
        <x:v>MDMER-0014</x:v>
      </x:c>
      <x:c r="B14" s="16" t="str">
        <x:v>Tier 2</x:v>
      </x:c>
      <x:c r="C14" s="16" t="str">
        <x:v>Physiological affect datasets</x:v>
      </x:c>
      <x:c r="D14" s="16" t="str">
        <x:v>Dataset paper</x:v>
      </x:c>
      <x:c r="E14" s="16" t="str">
        <x:v>WESAD: Wearable Stress and Affect Detection</x:v>
      </x:c>
      <x:c r="F14" s="16" t="n">
        <x:v>2018</x:v>
      </x:c>
      <x:c r="G14" s="16" t="str">
        <x:v>Schmidt et al.</x:v>
      </x:c>
      <x:c r="H14" s="16" t="str"/>
      <x:c r="I14" s="16" t="str">
        <x:v>ECG; EDA; EMG; respiration; temperature; acceleration</x:v>
      </x:c>
      <x:c r="J14" s="16" t="str">
        <x:v>Individual</x:v>
      </x:c>
      <x:c r="K14" s="16" t="str">
        <x:v>Stress/affect protocol</x:v>
      </x:c>
      <x:c r="L14" s="16" t="str">
        <x:v>Public/research</x:v>
      </x:c>
      <x:c r="M14" s="16" t="str">
        <x:v>https://archive.ics.uci.edu/dataset/465/wesad+wearable+stress+and+affect+detection</x:v>
      </x:c>
      <x:c r="N14" s="16" t="str">
        <x:v>https://dl.acm.org/doi/10.1145/3242969.3242985</x:v>
      </x:c>
      <x:c r="O14" s="16" t="str">
        <x:v>Background Evidence</x:v>
      </x:c>
      <x:c r="P14" s="16" t="str">
        <x:v>Important wearable physiological dataset and benchmark.</x:v>
      </x:c>
      <x:c r="Q14" s="16" t="str">
        <x:v>No EEG/eye/audio/video; no social interaction.</x:v>
      </x:c>
      <x:c r="R14" s="16" t="str">
        <x:v>Medium</x:v>
      </x:c>
      <x:c r="S14" s="16" t="str">
        <x:v>Legacy entry — re-verification required</x:v>
      </x:c>
      <x:c r="T14" s="16" t="str">
        <x:v>Not read</x:v>
      </x:c>
      <x:c r="U14" s="16" t="str">
        <x:v>Existing ARL literature</x:v>
      </x:c>
      <x:c r="V14" s="16" t="str">
        <x:v>Pending</x:v>
      </x:c>
      <x:c r="W14" s="16" t="str"/>
      <x:c r="X14" s="16" t="str">
        <x:v>Useful for Shimmer-style feature extraction</x:v>
      </x:c>
      <x:c r="Y14" s="16" t="str"/>
    </x:row>
    <x:row r="15">
      <x:c r="A15" s="16" t="str">
        <x:v>MDMER-0015</x:v>
      </x:c>
      <x:c r="B15" s="16" t="str">
        <x:v>Tier 2</x:v>
      </x:c>
      <x:c r="C15" s="16" t="str">
        <x:v>Physiological affect datasets</x:v>
      </x:c>
      <x:c r="D15" s="16" t="str">
        <x:v>Dataset paper</x:v>
      </x:c>
      <x:c r="E15" s="16" t="str">
        <x:v>MAUS: A Multimodal Affective User State Dataset</x:v>
      </x:c>
      <x:c r="F15" s="16" t="n">
        <x:v>2019</x:v>
      </x:c>
      <x:c r="G15" s="16" t="str">
        <x:v>Kächele et al.</x:v>
      </x:c>
      <x:c r="H15" s="16" t="str"/>
      <x:c r="I15" s="16" t="str">
        <x:v>Physiology; facial behavior; annotations</x:v>
      </x:c>
      <x:c r="J15" s="16" t="str">
        <x:v>Individual</x:v>
      </x:c>
      <x:c r="K15" s="16" t="str">
        <x:v>Affective user state tasks</x:v>
      </x:c>
      <x:c r="L15" s="16" t="str">
        <x:v>Research access</x:v>
      </x:c>
      <x:c r="M15" s="16" t="str"/>
      <x:c r="N15" s="16" t="str">
        <x:v>https://dl.acm.org/doi/10.1145/3340555.3353746</x:v>
      </x:c>
      <x:c r="O15" s="16" t="str">
        <x:v>Background Evidence</x:v>
      </x:c>
      <x:c r="P15" s="16" t="str">
        <x:v>Relevant for multimodal user state inference.</x:v>
      </x:c>
      <x:c r="Q15" s="16" t="str">
        <x:v>Less direct to group decision; access/details need review.</x:v>
      </x:c>
      <x:c r="R15" s="16" t="str">
        <x:v>Medium</x:v>
      </x:c>
      <x:c r="S15" s="16" t="str">
        <x:v>Legacy entry — re-verification required</x:v>
      </x:c>
      <x:c r="T15" s="16" t="str">
        <x:v>To verify</x:v>
      </x:c>
      <x:c r="U15" s="16" t="str">
        <x:v>Existing ARL literature</x:v>
      </x:c>
      <x:c r="V15" s="16" t="str">
        <x:v>Pending</x:v>
      </x:c>
      <x:c r="W15" s="16" t="str"/>
      <x:c r="X15" s="16" t="str">
        <x:v>Potential related work</x:v>
      </x:c>
      <x:c r="Y15" s="16" t="str"/>
    </x:row>
    <x:row r="16">
      <x:c r="A16" s="16" t="str">
        <x:v>MDMER-0016</x:v>
      </x:c>
      <x:c r="B16" s="16" t="str">
        <x:v>Tier 2</x:v>
      </x:c>
      <x:c r="C16" s="16" t="str">
        <x:v>Physiological affect datasets</x:v>
      </x:c>
      <x:c r="D16" s="16" t="str">
        <x:v>Dataset paper</x:v>
      </x:c>
      <x:c r="E16" s="16" t="str">
        <x:v>Affectiva-MIT Facial Expression / emotion datasets</x:v>
      </x:c>
      <x:c r="F16" s="16" t="n">
        <x:v>2010</x:v>
      </x:c>
      <x:c r="G16" s="16" t="str">
        <x:v>McDuff et al.</x:v>
      </x:c>
      <x:c r="H16" s="16" t="str"/>
      <x:c r="I16" s="16" t="str">
        <x:v>Video/facial expression; sometimes physiology in related work</x:v>
      </x:c>
      <x:c r="J16" s="16" t="str">
        <x:v>Individual</x:v>
      </x:c>
      <x:c r="K16" s="16" t="str">
        <x:v>Emotion elicitation</x:v>
      </x:c>
      <x:c r="L16" s="16" t="str">
        <x:v>Restricted/commercial/research</x:v>
      </x:c>
      <x:c r="M16" s="16" t="str"/>
      <x:c r="N16" s="16" t="str">
        <x:v>https://ieeexplore.ieee.org/document/7744024/</x:v>
      </x:c>
      <x:c r="O16" s="16" t="str">
        <x:v>Background Evidence</x:v>
      </x:c>
      <x:c r="P16" s="16" t="str">
        <x:v>Useful for affect and facial-video benchmark context.</x:v>
      </x:c>
      <x:c r="Q16" s="16" t="str">
        <x:v>Not physiological group decision data.</x:v>
      </x:c>
      <x:c r="R16" s="16" t="str">
        <x:v>Low</x:v>
      </x:c>
      <x:c r="S16" s="16" t="str">
        <x:v>Legacy entry — re-verification required</x:v>
      </x:c>
      <x:c r="T16" s="16" t="str">
        <x:v>To verify</x:v>
      </x:c>
      <x:c r="U16" s="16" t="str">
        <x:v>Existing ARL literature</x:v>
      </x:c>
      <x:c r="V16" s="16" t="str">
        <x:v>Pending</x:v>
      </x:c>
      <x:c r="W16" s="16" t="str"/>
      <x:c r="X16" s="16" t="str">
        <x:v>Optional citation only</x:v>
      </x:c>
      <x:c r="Y16" s="16" t="str"/>
    </x:row>
    <x:row r="17">
      <x:c r="A17" s="16" t="str">
        <x:v>MDMER-0017</x:v>
      </x:c>
      <x:c r="B17" s="16" t="str">
        <x:v>Tier 2</x:v>
      </x:c>
      <x:c r="C17" s="16" t="str">
        <x:v>EEG emotion datasets</x:v>
      </x:c>
      <x:c r="D17" s="16" t="str">
        <x:v>Dataset paper</x:v>
      </x:c>
      <x:c r="E17" s="16" t="str">
        <x:v>SEED: A Dataset for Emotion Recognition using EEG</x:v>
      </x:c>
      <x:c r="F17" s="16" t="n">
        <x:v>2015</x:v>
      </x:c>
      <x:c r="G17" s="16" t="str">
        <x:v>Zheng &amp; Lu</x:v>
      </x:c>
      <x:c r="H17" s="16" t="str"/>
      <x:c r="I17" s="16" t="str">
        <x:v>EEG</x:v>
      </x:c>
      <x:c r="J17" s="16" t="str">
        <x:v>Individual</x:v>
      </x:c>
      <x:c r="K17" s="16" t="str">
        <x:v>Emotion film clips</x:v>
      </x:c>
      <x:c r="L17" s="16" t="str">
        <x:v>Research access</x:v>
      </x:c>
      <x:c r="M17" s="16" t="str">
        <x:v>https://bcmi.sjtu.edu.cn/home/seed/</x:v>
      </x:c>
      <x:c r="N17" s="16" t="str">
        <x:v>https://ieeexplore.ieee.org/document/7104132/</x:v>
      </x:c>
      <x:c r="O17" s="16" t="str">
        <x:v>Modality Comparator</x:v>
      </x:c>
      <x:c r="P17" s="16" t="str">
        <x:v>Common EEG emotion benchmark.</x:v>
      </x:c>
      <x:c r="Q17" s="16" t="str">
        <x:v>No multimodal group interaction.</x:v>
      </x:c>
      <x:c r="R17" s="16" t="str">
        <x:v>Medium</x:v>
      </x:c>
      <x:c r="S17" s="16" t="str">
        <x:v>Legacy entry — re-verification required</x:v>
      </x:c>
      <x:c r="T17" s="16" t="str">
        <x:v>Not read</x:v>
      </x:c>
      <x:c r="U17" s="16" t="str">
        <x:v>Existing ARL literature</x:v>
      </x:c>
      <x:c r="V17" s="16" t="str">
        <x:v>Pending</x:v>
      </x:c>
      <x:c r="W17" s="16" t="str"/>
      <x:c r="X17" s="16" t="str">
        <x:v>Useful for EEG feature benchmarks</x:v>
      </x:c>
      <x:c r="Y17" s="16" t="str"/>
    </x:row>
    <x:row r="18">
      <x:c r="A18" s="16" t="str">
        <x:v>MDMER-0018</x:v>
      </x:c>
      <x:c r="B18" s="16" t="str">
        <x:v>Tier 2</x:v>
      </x:c>
      <x:c r="C18" s="16" t="str">
        <x:v>EEG emotion datasets</x:v>
      </x:c>
      <x:c r="D18" s="16" t="str">
        <x:v>Dataset paper</x:v>
      </x:c>
      <x:c r="E18" s="16" t="str">
        <x:v>SEED-IV: Multimodal Emotion Dataset with Four Emotion Categories</x:v>
      </x:c>
      <x:c r="F18" s="16" t="n">
        <x:v>2018</x:v>
      </x:c>
      <x:c r="G18" s="16" t="str">
        <x:v>Zheng et al.</x:v>
      </x:c>
      <x:c r="H18" s="16" t="str"/>
      <x:c r="I18" s="16" t="str">
        <x:v>EEG; eye movement</x:v>
      </x:c>
      <x:c r="J18" s="16" t="str">
        <x:v>Individual</x:v>
      </x:c>
      <x:c r="K18" s="16" t="str">
        <x:v>Emotion film clips</x:v>
      </x:c>
      <x:c r="L18" s="16" t="str">
        <x:v>Research access</x:v>
      </x:c>
      <x:c r="M18" s="16" t="str">
        <x:v>https://bcmi.sjtu.edu.cn/home/seed/</x:v>
      </x:c>
      <x:c r="N18" s="16" t="str">
        <x:v>https://ieeexplore.ieee.org/document/8373816/</x:v>
      </x:c>
      <x:c r="O18" s="16" t="str">
        <x:v>Modality Comparator</x:v>
      </x:c>
      <x:c r="P18" s="16" t="str">
        <x:v>EEG + eye movement emotion benchmark.</x:v>
      </x:c>
      <x:c r="Q18" s="16" t="str">
        <x:v>No social interaction or peripheral physiology.</x:v>
      </x:c>
      <x:c r="R18" s="16" t="str">
        <x:v>Medium</x:v>
      </x:c>
      <x:c r="S18" s="16" t="str">
        <x:v>Legacy entry — re-verification required</x:v>
      </x:c>
      <x:c r="T18" s="16" t="str">
        <x:v>Not read</x:v>
      </x:c>
      <x:c r="U18" s="16" t="str">
        <x:v>Existing ARL literature</x:v>
      </x:c>
      <x:c r="V18" s="16" t="str">
        <x:v>Pending</x:v>
      </x:c>
      <x:c r="W18" s="16" t="str"/>
      <x:c r="X18" s="16" t="str">
        <x:v>Useful for EEG-eye comparison</x:v>
      </x:c>
      <x:c r="Y18" s="16" t="str"/>
    </x:row>
    <x:row r="19">
      <x:c r="A19" s="16" t="str">
        <x:v>MDMER-0019</x:v>
      </x:c>
      <x:c r="B19" s="16" t="str">
        <x:v>Tier 2</x:v>
      </x:c>
      <x:c r="C19" s="16" t="str">
        <x:v>EEG + eye tracking datasets</x:v>
      </x:c>
      <x:c r="D19" s="16" t="str">
        <x:v>Dataset paper</x:v>
      </x:c>
      <x:c r="E19" s="16" t="str">
        <x:v>Consumer-grade EEG-based Eye Tracking Dataset</x:v>
      </x:c>
      <x:c r="F19" s="16" t="n">
        <x:v>2025</x:v>
      </x:c>
      <x:c r="G19" s="16" t="str">
        <x:v>Authors TBD</x:v>
      </x:c>
      <x:c r="H19" s="16" t="str"/>
      <x:c r="I19" s="16" t="str">
        <x:v>Consumer EEG; webcam eye tracking</x:v>
      </x:c>
      <x:c r="J19" s="16" t="str">
        <x:v>Individual</x:v>
      </x:c>
      <x:c r="K19" s="16" t="str">
        <x:v>Eye movement paradigms</x:v>
      </x:c>
      <x:c r="L19" s="16" t="str">
        <x:v>Likely public</x:v>
      </x:c>
      <x:c r="M19" s="16" t="str">
        <x:v>https://arxiv.org/html/2503.14322v1</x:v>
      </x:c>
      <x:c r="N19" s="16" t="str">
        <x:v>https://arxiv.org/html/2503.14322v1</x:v>
      </x:c>
      <x:c r="O19" s="16" t="str">
        <x:v>Modality Comparator</x:v>
      </x:c>
      <x:c r="P19" s="16" t="str">
        <x:v>Relevant to low-cost EEG + webcam/eye tracking synchronization.</x:v>
      </x:c>
      <x:c r="Q19" s="16" t="str">
        <x:v>No physiology/group task; details need verification.</x:v>
      </x:c>
      <x:c r="R19" s="16" t="str">
        <x:v>Medium</x:v>
      </x:c>
      <x:c r="S19" s="16" t="str">
        <x:v>Legacy entry — re-verification required</x:v>
      </x:c>
      <x:c r="T19" s="16" t="str">
        <x:v>To verify</x:v>
      </x:c>
      <x:c r="U19" s="16" t="str">
        <x:v>Existing ARL literature</x:v>
      </x:c>
      <x:c r="V19" s="16" t="str">
        <x:v>Pending</x:v>
      </x:c>
      <x:c r="W19" s="16" t="str"/>
      <x:c r="X19" s="16" t="str">
        <x:v>Useful if EyeLogic constraints become important</x:v>
      </x:c>
      <x:c r="Y19" s="16" t="str"/>
    </x:row>
    <x:row r="20">
      <x:c r="A20" s="16" t="str">
        <x:v>MDMER-0020</x:v>
      </x:c>
      <x:c r="B20" s="16" t="str">
        <x:v>Tier 2</x:v>
      </x:c>
      <x:c r="C20" s="16" t="str">
        <x:v>EEG + eye tracking datasets</x:v>
      </x:c>
      <x:c r="D20" s="16" t="str">
        <x:v>Dataset paper</x:v>
      </x:c>
      <x:c r="E20" s="16" t="str">
        <x:v>Ocular Activity Dataset: EEG, Eye-tracking, and High-speed Video</x:v>
      </x:c>
      <x:c r="F20" s="16" t="n">
        <x:v>2025</x:v>
      </x:c>
      <x:c r="G20" s="16" t="str">
        <x:v>Guttmann-Flury et al.</x:v>
      </x:c>
      <x:c r="H20" s="16" t="str"/>
      <x:c r="I20" s="16" t="str">
        <x:v>EEG; eye tracking; high-speed video</x:v>
      </x:c>
      <x:c r="J20" s="16" t="str">
        <x:v>Individual</x:v>
      </x:c>
      <x:c r="K20" s="16" t="str">
        <x:v>Ocular behavior / mental states</x:v>
      </x:c>
      <x:c r="L20" s="16" t="str">
        <x:v>Public</x:v>
      </x:c>
      <x:c r="M20" s="16" t="str">
        <x:v>https://pmc.ncbi.nlm.nih.gov/articles/PMC11978869/</x:v>
      </x:c>
      <x:c r="N20" s="16" t="str">
        <x:v>https://pmc.ncbi.nlm.nih.gov/articles/PMC11978869/</x:v>
      </x:c>
      <x:c r="O20" s="16" t="str">
        <x:v>Modality Comparator</x:v>
      </x:c>
      <x:c r="P20" s="16" t="str">
        <x:v>Good multimodal eye/EEG/video reference.</x:v>
      </x:c>
      <x:c r="Q20" s="16" t="str">
        <x:v>No group decision or physiology.</x:v>
      </x:c>
      <x:c r="R20" s="16" t="str">
        <x:v>Medium</x:v>
      </x:c>
      <x:c r="S20" s="16" t="str">
        <x:v>Legacy entry — re-verification required</x:v>
      </x:c>
      <x:c r="T20" s="16" t="str">
        <x:v>Not read</x:v>
      </x:c>
      <x:c r="U20" s="16" t="str">
        <x:v>Existing ARL literature</x:v>
      </x:c>
      <x:c r="V20" s="16" t="str">
        <x:v>Pending</x:v>
      </x:c>
      <x:c r="W20" s="16" t="str"/>
      <x:c r="X20" s="16" t="str">
        <x:v>Useful for ocular artifact handling</x:v>
      </x:c>
      <x:c r="Y20" s="16" t="str"/>
    </x:row>
    <x:row r="21">
      <x:c r="A21" s="16" t="str">
        <x:v>MDMER-0021</x:v>
      </x:c>
      <x:c r="B21" s="16" t="str">
        <x:v>Tier 2</x:v>
      </x:c>
      <x:c r="C21" s="16" t="str">
        <x:v>Social interaction datasets</x:v>
      </x:c>
      <x:c r="D21" s="16" t="str">
        <x:v>Dataset paper</x:v>
      </x:c>
      <x:c r="E21" s="16" t="str">
        <x:v>MELD: Multimodal EmotionLines Dataset</x:v>
      </x:c>
      <x:c r="F21" s="16" t="n">
        <x:v>2019</x:v>
      </x:c>
      <x:c r="G21" s="16" t="str">
        <x:v>Poria et al.</x:v>
      </x:c>
      <x:c r="H21" s="16" t="str"/>
      <x:c r="I21" s="16" t="str">
        <x:v>Text; audio; video</x:v>
      </x:c>
      <x:c r="J21" s="16" t="str">
        <x:v>Multi-party</x:v>
      </x:c>
      <x:c r="K21" s="16" t="str">
        <x:v>TV-series multi-party conversations</x:v>
      </x:c>
      <x:c r="L21" s="16" t="str">
        <x:v>Public</x:v>
      </x:c>
      <x:c r="M21" s="16" t="str">
        <x:v>https://affective-meld.github.io/</x:v>
      </x:c>
      <x:c r="N21" s="16" t="str">
        <x:v>https://aclanthology.org/P19-1050/</x:v>
      </x:c>
      <x:c r="O21" s="16" t="str">
        <x:v>Social/Group Comparator</x:v>
      </x:c>
      <x:c r="P21" s="16" t="str">
        <x:v>Important multi-party conversation benchmark.</x:v>
      </x:c>
      <x:c r="Q21" s="16" t="str">
        <x:v>No physiology; acted/scripted media source.</x:v>
      </x:c>
      <x:c r="R21" s="16" t="str">
        <x:v>Medium</x:v>
      </x:c>
      <x:c r="S21" s="16" t="str">
        <x:v>Legacy entry — re-verification required</x:v>
      </x:c>
      <x:c r="T21" s="16" t="str">
        <x:v>Not read</x:v>
      </x:c>
      <x:c r="U21" s="16" t="str">
        <x:v>Existing ARL literature</x:v>
      </x:c>
      <x:c r="V21" s="16" t="str">
        <x:v>Pending</x:v>
      </x:c>
      <x:c r="W21" s="16" t="str"/>
      <x:c r="X21" s="16" t="str">
        <x:v>Useful for dialogue-level modeling</x:v>
      </x:c>
      <x:c r="Y21" s="16" t="str"/>
    </x:row>
    <x:row r="22">
      <x:c r="A22" s="16" t="str">
        <x:v>MDMER-0022</x:v>
      </x:c>
      <x:c r="B22" s="16" t="str">
        <x:v>Tier 2</x:v>
      </x:c>
      <x:c r="C22" s="16" t="str">
        <x:v>Social interaction datasets</x:v>
      </x:c>
      <x:c r="D22" s="16" t="str">
        <x:v>Dataset paper</x:v>
      </x:c>
      <x:c r="E22" s="16" t="str">
        <x:v>IEMOCAP: Interactive Emotional Dyadic Motion Capture Database</x:v>
      </x:c>
      <x:c r="F22" s="16" t="n">
        <x:v>2008</x:v>
      </x:c>
      <x:c r="G22" s="16" t="str">
        <x:v>Busso et al.</x:v>
      </x:c>
      <x:c r="H22" s="16" t="str"/>
      <x:c r="I22" s="16" t="str">
        <x:v>Audio; video; motion capture; text annotations</x:v>
      </x:c>
      <x:c r="J22" s="16" t="str">
        <x:v>Dyads</x:v>
      </x:c>
      <x:c r="K22" s="16" t="str">
        <x:v>Scripted and spontaneous dialogues</x:v>
      </x:c>
      <x:c r="L22" s="16" t="str">
        <x:v>Research access</x:v>
      </x:c>
      <x:c r="M22" s="16" t="str">
        <x:v>https://sail.usc.edu/iemocap/</x:v>
      </x:c>
      <x:c r="N22" s="16" t="str">
        <x:v>https://www.carlosbusso.com/publications/Busso_2008_5.pdf</x:v>
      </x:c>
      <x:c r="O22" s="16" t="str">
        <x:v>Social/Group Comparator</x:v>
      </x:c>
      <x:c r="P22" s="16" t="str">
        <x:v>Classic interactive dyadic multimodal emotion dataset.</x:v>
      </x:c>
      <x:c r="Q22" s="16" t="str">
        <x:v>No physiology; dyadic actors.</x:v>
      </x:c>
      <x:c r="R22" s="16" t="str">
        <x:v>Medium</x:v>
      </x:c>
      <x:c r="S22" s="16" t="str">
        <x:v>Legacy entry — re-verification required</x:v>
      </x:c>
      <x:c r="T22" s="16" t="str">
        <x:v>Not read</x:v>
      </x:c>
      <x:c r="U22" s="16" t="str">
        <x:v>Existing ARL literature</x:v>
      </x:c>
      <x:c r="V22" s="16" t="str">
        <x:v>Pending</x:v>
      </x:c>
      <x:c r="W22" s="16" t="str"/>
      <x:c r="X22" s="16" t="str">
        <x:v>Useful for audio/video annotation</x:v>
      </x:c>
      <x:c r="Y22" s="16" t="str"/>
    </x:row>
    <x:row r="23">
      <x:c r="A23" s="16" t="str">
        <x:v>MDMER-0023</x:v>
      </x:c>
      <x:c r="B23" s="16" t="str">
        <x:v>Tier 2</x:v>
      </x:c>
      <x:c r="C23" s="16" t="str">
        <x:v>Meeting / group interaction</x:v>
      </x:c>
      <x:c r="D23" s="16" t="str">
        <x:v>Dataset paper</x:v>
      </x:c>
      <x:c r="E23" s="16" t="str">
        <x:v>ICSI Meeting Corpus</x:v>
      </x:c>
      <x:c r="F23" s="16" t="n">
        <x:v>2004</x:v>
      </x:c>
      <x:c r="G23" s="16" t="str">
        <x:v>Janin et al.</x:v>
      </x:c>
      <x:c r="H23" s="16" t="str"/>
      <x:c r="I23" s="16" t="str">
        <x:v>Multi-channel audio; transcripts</x:v>
      </x:c>
      <x:c r="J23" s="16" t="str">
        <x:v>Groups</x:v>
      </x:c>
      <x:c r="K23" s="16" t="str">
        <x:v>Meetings</x:v>
      </x:c>
      <x:c r="L23" s="16" t="str">
        <x:v>Public/research</x:v>
      </x:c>
      <x:c r="M23" s="16" t="str">
        <x:v>http://www1.icsi.berkeley.edu/Speech/mr/</x:v>
      </x:c>
      <x:c r="N23" s="16" t="str">
        <x:v>https://www1.icsi.berkeley.edu/Speech/papers/icsi05-meeting-corpus.pdf</x:v>
      </x:c>
      <x:c r="O23" s="16" t="str">
        <x:v>Background Evidence</x:v>
      </x:c>
      <x:c r="P23" s="16" t="str">
        <x:v>Classic meeting corpus for conversation/speaker interaction.</x:v>
      </x:c>
      <x:c r="Q23" s="16" t="str">
        <x:v>No physiology/video in main corpus; not decision physiology.</x:v>
      </x:c>
      <x:c r="R23" s="16" t="str">
        <x:v>Medium</x:v>
      </x:c>
      <x:c r="S23" s="16" t="str">
        <x:v>Legacy entry — re-verification required</x:v>
      </x:c>
      <x:c r="T23" s="16" t="str">
        <x:v>Not read</x:v>
      </x:c>
      <x:c r="U23" s="16" t="str">
        <x:v>Existing ARL literature</x:v>
      </x:c>
      <x:c r="V23" s="16" t="str">
        <x:v>Pending</x:v>
      </x:c>
      <x:c r="W23" s="16" t="str"/>
      <x:c r="X23" s="16" t="str">
        <x:v>Useful for speech segmentation</x:v>
      </x:c>
      <x:c r="Y23" s="16" t="str"/>
    </x:row>
    <x:row r="24">
      <x:c r="A24" s="16" t="str">
        <x:v>MDMER-0024</x:v>
      </x:c>
      <x:c r="B24" s="16" t="str">
        <x:v>Tier 2</x:v>
      </x:c>
      <x:c r="C24" s="16" t="str">
        <x:v>Meeting / group interaction</x:v>
      </x:c>
      <x:c r="D24" s="16" t="str">
        <x:v>Dataset paper</x:v>
      </x:c>
      <x:c r="E24" s="16" t="str">
        <x:v>ELEA Audio-Visual Synchronous Corpus</x:v>
      </x:c>
      <x:c r="F24" s="16" t="n">
        <x:v>2012</x:v>
      </x:c>
      <x:c r="G24" s="16" t="str">
        <x:v>Sanchez-Cortes et al.</x:v>
      </x:c>
      <x:c r="H24" s="16" t="str"/>
      <x:c r="I24" s="16" t="str">
        <x:v>Audio; video; nonverbal behavior annotations</x:v>
      </x:c>
      <x:c r="J24" s="16" t="str">
        <x:v>Small groups</x:v>
      </x:c>
      <x:c r="K24" s="16" t="str">
        <x:v>Leadership emergence / group discussion</x:v>
      </x:c>
      <x:c r="L24" s="16" t="str">
        <x:v>Research access</x:v>
      </x:c>
      <x:c r="M24" s="16" t="str"/>
      <x:c r="N24" s="16" t="str">
        <x:v>https://dl.acm.org/doi/10.1145/2388676.2388680</x:v>
      </x:c>
      <x:c r="O24" s="16" t="str">
        <x:v>Background Evidence</x:v>
      </x:c>
      <x:c r="P24" s="16" t="str">
        <x:v>Relevant for small-group behavior and leadership/dominance.</x:v>
      </x:c>
      <x:c r="Q24" s="16" t="str">
        <x:v>No physiology or deception paradigm.</x:v>
      </x:c>
      <x:c r="R24" s="16" t="str">
        <x:v>Medium</x:v>
      </x:c>
      <x:c r="S24" s="16" t="str">
        <x:v>Legacy entry — re-verification required</x:v>
      </x:c>
      <x:c r="T24" s="16" t="str">
        <x:v>To verify</x:v>
      </x:c>
      <x:c r="U24" s="16" t="str">
        <x:v>Existing ARL literature</x:v>
      </x:c>
      <x:c r="V24" s="16" t="str">
        <x:v>Pending</x:v>
      </x:c>
      <x:c r="W24" s="16" t="str"/>
      <x:c r="X24" s="16" t="str">
        <x:v>Useful for social dynamics</x:v>
      </x:c>
      <x:c r="Y24" s="16" t="str"/>
    </x:row>
    <x:row r="25">
      <x:c r="A25" s="16" t="str">
        <x:v>MDMER-0025</x:v>
      </x:c>
      <x:c r="B25" s="16" t="str">
        <x:v>Tier 2</x:v>
      </x:c>
      <x:c r="C25" s="16" t="str">
        <x:v>Meeting / group interaction</x:v>
      </x:c>
      <x:c r="D25" s="16" t="str">
        <x:v>Dataset paper</x:v>
      </x:c>
      <x:c r="E25" s="16" t="str">
        <x:v>MPIIGroupInteraction: Multi-person Group Interaction Dataset</x:v>
      </x:c>
      <x:c r="F25" s="16" t="n">
        <x:v>2018</x:v>
      </x:c>
      <x:c r="G25" s="16" t="str">
        <x:v>Müller et al.</x:v>
      </x:c>
      <x:c r="H25" s="16" t="str"/>
      <x:c r="I25" s="16" t="str">
        <x:v>Video; pose/behavior annotations</x:v>
      </x:c>
      <x:c r="J25" s="16" t="str">
        <x:v>Groups</x:v>
      </x:c>
      <x:c r="K25" s="16" t="str">
        <x:v>Natural group conversation</x:v>
      </x:c>
      <x:c r="L25" s="16" t="str">
        <x:v>Research/public</x:v>
      </x:c>
      <x:c r="M25" s="16" t="str">
        <x:v>https://team.inria.fr/robotlearn/the-mpii-group-interaction-dataset/</x:v>
      </x:c>
      <x:c r="N25" s="16" t="str">
        <x:v>https://openaccess.thecvf.com/content_cvpr_2018_workshops/w32/html/Muller_Multi-Person_3D_Pose_CVPR_2018_paper.html</x:v>
      </x:c>
      <x:c r="O25" s="16" t="str">
        <x:v>Background Evidence</x:v>
      </x:c>
      <x:c r="P25" s="16" t="str">
        <x:v>Relevant for group visual behavior analysis.</x:v>
      </x:c>
      <x:c r="Q25" s="16" t="str">
        <x:v>No physiology/audio focus; not task-controlled.</x:v>
      </x:c>
      <x:c r="R25" s="16" t="str">
        <x:v>Medium</x:v>
      </x:c>
      <x:c r="S25" s="16" t="str">
        <x:v>Legacy entry — re-verification required</x:v>
      </x:c>
      <x:c r="T25" s="16" t="str">
        <x:v>To verify</x:v>
      </x:c>
      <x:c r="U25" s="16" t="str">
        <x:v>Existing ARL literature</x:v>
      </x:c>
      <x:c r="V25" s="16" t="str">
        <x:v>Pending</x:v>
      </x:c>
      <x:c r="W25" s="16" t="str"/>
      <x:c r="X25" s="16" t="str">
        <x:v>Optional computer-vision angle</x:v>
      </x:c>
      <x:c r="Y25" s="16" t="str"/>
    </x:row>
    <x:row r="26">
      <x:c r="A26" s="16" t="str">
        <x:v>MDMER-0026</x:v>
      </x:c>
      <x:c r="B26" s="16" t="str">
        <x:v>Tier 2</x:v>
      </x:c>
      <x:c r="C26" s="16" t="str">
        <x:v>Social interaction datasets</x:v>
      </x:c>
      <x:c r="D26" s="16" t="str">
        <x:v>Dataset paper</x:v>
      </x:c>
      <x:c r="E26" s="16" t="str">
        <x:v>MatchNMingle: Multi-sensor Social Mingling Dataset</x:v>
      </x:c>
      <x:c r="F26" s="16" t="n">
        <x:v>2018</x:v>
      </x:c>
      <x:c r="G26" s="16" t="str">
        <x:v>Cabrera-Quiros et al.</x:v>
      </x:c>
      <x:c r="H26" s="16" t="str"/>
      <x:c r="I26" s="16" t="str">
        <x:v>Wearable acceleration; proximity; audio; video annotations</x:v>
      </x:c>
      <x:c r="J26" s="16" t="str">
        <x:v>Groups/social event</x:v>
      </x:c>
      <x:c r="K26" s="16" t="str">
        <x:v>Free mingling interaction</x:v>
      </x:c>
      <x:c r="L26" s="16" t="str">
        <x:v>Research access</x:v>
      </x:c>
      <x:c r="M26" s="16" t="str"/>
      <x:c r="N26" s="16" t="str">
        <x:v>https://dl.acm.org/doi/10.1145/3267305.3274114</x:v>
      </x:c>
      <x:c r="O26" s="16" t="str">
        <x:v>Social/Group Comparator</x:v>
      </x:c>
      <x:c r="P26" s="16" t="str">
        <x:v>Useful for group social dynamics and wearable sensing.</x:v>
      </x:c>
      <x:c r="Q26" s="16" t="str">
        <x:v>No EEG/ECG/GSR; not decision task.</x:v>
      </x:c>
      <x:c r="R26" s="16" t="str">
        <x:v>Medium</x:v>
      </x:c>
      <x:c r="S26" s="16" t="str">
        <x:v>Legacy entry — re-verification required</x:v>
      </x:c>
      <x:c r="T26" s="16" t="str">
        <x:v>To verify</x:v>
      </x:c>
      <x:c r="U26" s="16" t="str">
        <x:v>Existing ARL literature</x:v>
      </x:c>
      <x:c r="V26" s="16" t="str">
        <x:v>Pending</x:v>
      </x:c>
      <x:c r="W26" s="16" t="str"/>
      <x:c r="X26" s="16" t="str">
        <x:v>Good for social network features</x:v>
      </x:c>
      <x:c r="Y26" s="16" t="str"/>
    </x:row>
    <x:row r="27">
      <x:c r="A27" s="16" t="str">
        <x:v>MDMER-0027</x:v>
      </x:c>
      <x:c r="B27" s="16" t="str">
        <x:v>Tier 2</x:v>
      </x:c>
      <x:c r="C27" s="16" t="str">
        <x:v>Social interaction datasets</x:v>
      </x:c>
      <x:c r="D27" s="16" t="str">
        <x:v>Dataset paper</x:v>
      </x:c>
      <x:c r="E27" s="16" t="str">
        <x:v>NOXI Database: Multimodal Natural Human-Computer Interaction</x:v>
      </x:c>
      <x:c r="F27" s="16" t="n">
        <x:v>2017</x:v>
      </x:c>
      <x:c r="G27" s="16" t="str">
        <x:v>Cafaro et al.</x:v>
      </x:c>
      <x:c r="H27" s="16" t="str"/>
      <x:c r="I27" s="16" t="str">
        <x:v>Audio; video; motion/behavior</x:v>
      </x:c>
      <x:c r="J27" s="16" t="str">
        <x:v>Dyads/HCI</x:v>
      </x:c>
      <x:c r="K27" s="16" t="str">
        <x:v>Expert-novice interaction</x:v>
      </x:c>
      <x:c r="L27" s="16" t="str">
        <x:v>Research access</x:v>
      </x:c>
      <x:c r="M27" s="16" t="str">
        <x:v>https://noxi.aria-agent.eu/</x:v>
      </x:c>
      <x:c r="N27" s="16" t="str">
        <x:v>https://dl.acm.org/doi/10.1145/3136755.3136759</x:v>
      </x:c>
      <x:c r="O27" s="16" t="str">
        <x:v>Social/Group Comparator</x:v>
      </x:c>
      <x:c r="P27" s="16" t="str">
        <x:v>Useful for naturalistic interaction and nonverbal cues.</x:v>
      </x:c>
      <x:c r="Q27" s="16" t="str">
        <x:v>No physiology; not group decision.</x:v>
      </x:c>
      <x:c r="R27" s="16" t="str">
        <x:v>Low</x:v>
      </x:c>
      <x:c r="S27" s="16" t="str">
        <x:v>Legacy entry — re-verification required</x:v>
      </x:c>
      <x:c r="T27" s="16" t="str">
        <x:v>To verify</x:v>
      </x:c>
      <x:c r="U27" s="16" t="str">
        <x:v>Existing ARL literature</x:v>
      </x:c>
      <x:c r="V27" s="16" t="str">
        <x:v>Pending</x:v>
      </x:c>
      <x:c r="W27" s="16" t="str"/>
      <x:c r="X27" s="16" t="str">
        <x:v>Peripheral relevance</x:v>
      </x:c>
      <x:c r="Y27" s="16" t="str"/>
    </x:row>
    <x:row r="28">
      <x:c r="A28" s="16" t="str">
        <x:v>MDMER-0028</x:v>
      </x:c>
      <x:c r="B28" s="16" t="str">
        <x:v>Tier 2</x:v>
      </x:c>
      <x:c r="C28" s="16" t="str">
        <x:v>Social interaction datasets</x:v>
      </x:c>
      <x:c r="D28" s="16" t="str">
        <x:v>Dataset paper</x:v>
      </x:c>
      <x:c r="E28" s="16" t="str">
        <x:v>Aff-Wild: In-the-Wild Affect Recognition Database</x:v>
      </x:c>
      <x:c r="F28" s="16" t="n">
        <x:v>2019</x:v>
      </x:c>
      <x:c r="G28" s="16" t="str">
        <x:v>Kollias et al.</x:v>
      </x:c>
      <x:c r="H28" s="16" t="str"/>
      <x:c r="I28" s="16" t="str">
        <x:v>Video; audio in related variants; valence/arousal annotations</x:v>
      </x:c>
      <x:c r="J28" s="16" t="str">
        <x:v>Individual/video subjects</x:v>
      </x:c>
      <x:c r="K28" s="16" t="str">
        <x:v>In-the-wild affect videos</x:v>
      </x:c>
      <x:c r="L28" s="16" t="str">
        <x:v>Research access</x:v>
      </x:c>
      <x:c r="M28" s="16" t="str">
        <x:v>https://ibug.doc.ic.ac.uk/resources/aff-wild2/</x:v>
      </x:c>
      <x:c r="N28" s="16" t="str">
        <x:v>https://link.springer.com/article/10.1007/s11263-019-01158-4</x:v>
      </x:c>
      <x:c r="O28" s="16" t="str">
        <x:v>Social/Group Comparator</x:v>
      </x:c>
      <x:c r="P28" s="16" t="str">
        <x:v>Useful for video affect benchmark context.</x:v>
      </x:c>
      <x:c r="Q28" s="16" t="str">
        <x:v>No physiology/group task.</x:v>
      </x:c>
      <x:c r="R28" s="16" t="str">
        <x:v>Low</x:v>
      </x:c>
      <x:c r="S28" s="16" t="str">
        <x:v>Legacy entry — re-verification required</x:v>
      </x:c>
      <x:c r="T28" s="16" t="str">
        <x:v>Not read</x:v>
      </x:c>
      <x:c r="U28" s="16" t="str">
        <x:v>Existing ARL literature</x:v>
      </x:c>
      <x:c r="V28" s="16" t="str">
        <x:v>Pending</x:v>
      </x:c>
      <x:c r="W28" s="16" t="str"/>
      <x:c r="X28" s="16" t="str">
        <x:v>Not core but recognizable</x:v>
      </x:c>
      <x:c r="Y28" s="16" t="str"/>
    </x:row>
    <x:row r="29">
      <x:c r="A29" s="16" t="str">
        <x:v>MDMER-0029</x:v>
      </x:c>
      <x:c r="B29" s="16" t="str">
        <x:v>Tier 2</x:v>
      </x:c>
      <x:c r="C29" s="16" t="str">
        <x:v>Social interaction datasets</x:v>
      </x:c>
      <x:c r="D29" s="16" t="str">
        <x:v>Dataset paper</x:v>
      </x:c>
      <x:c r="E29" s="16" t="str">
        <x:v>AVEC Challenges / Audio-Visual Emotion Challenge Corpora</x:v>
      </x:c>
      <x:c r="F29" s="16" t="n">
        <x:v>2016</x:v>
      </x:c>
      <x:c r="G29" s="16" t="str">
        <x:v>Valstar/Ringeval et al.</x:v>
      </x:c>
      <x:c r="H29" s="16" t="str"/>
      <x:c r="I29" s="16" t="str">
        <x:v>Audio; video; physiology depending on year</x:v>
      </x:c>
      <x:c r="J29" s="16" t="str">
        <x:v>Dyads/individual</x:v>
      </x:c>
      <x:c r="K29" s="16" t="str">
        <x:v>Affect/depression/emotion challenge tasks</x:v>
      </x:c>
      <x:c r="L29" s="16" t="str">
        <x:v>Research access</x:v>
      </x:c>
      <x:c r="M29" s="16" t="str">
        <x:v>https://avec-challenge.org/</x:v>
      </x:c>
      <x:c r="N29" s="16" t="str">
        <x:v>https://d-nb.info/1248484878/34</x:v>
      </x:c>
      <x:c r="O29" s="16" t="str">
        <x:v>Social/Group Comparator</x:v>
      </x:c>
      <x:c r="P29" s="16" t="str">
        <x:v>Useful benchmark family for multimodal affect.</x:v>
      </x:c>
      <x:c r="Q29" s="16" t="str">
        <x:v>Not tailored to group decision; varies by year.</x:v>
      </x:c>
      <x:c r="R29" s="16" t="str">
        <x:v>Medium</x:v>
      </x:c>
      <x:c r="S29" s="16" t="str">
        <x:v>Legacy entry — re-verification required</x:v>
      </x:c>
      <x:c r="T29" s="16" t="str">
        <x:v>Not read</x:v>
      </x:c>
      <x:c r="U29" s="16" t="str">
        <x:v>Existing ARL literature</x:v>
      </x:c>
      <x:c r="V29" s="16" t="str">
        <x:v>Pending</x:v>
      </x:c>
      <x:c r="W29" s="16" t="str"/>
      <x:c r="X29" s="16" t="str">
        <x:v>Cite if benchmarking methods</x:v>
      </x:c>
      <x:c r="Y29" s="16" t="str"/>
    </x:row>
    <x:row r="30">
      <x:c r="A30" s="16" t="str">
        <x:v>MDMER-0035</x:v>
      </x:c>
      <x:c r="B30" s="16" t="str">
        <x:v>Tier 3</x:v>
      </x:c>
      <x:c r="C30" s="16" t="str">
        <x:v>Decision/social neuroscience</x:v>
      </x:c>
      <x:c r="D30" s="16" t="str">
        <x:v>Dataset paper</x:v>
      </x:c>
      <x:c r="E30" s="16" t="str">
        <x:v>EEG-BIDS Three-Person Hyperscanning Prisoner's Dilemma Dataset</x:v>
      </x:c>
      <x:c r="F30" s="16" t="n">
        <x:v>2026</x:v>
      </x:c>
      <x:c r="G30" s="16" t="str">
        <x:v>OpenNeuro ds007822</x:v>
      </x:c>
      <x:c r="H30" s="16" t="str"/>
      <x:c r="I30" s="16" t="str">
        <x:v>EEG; behavioral data</x:v>
      </x:c>
      <x:c r="J30" s="16" t="str">
        <x:v>Three-person groups/triads</x:v>
      </x:c>
      <x:c r="K30" s="16" t="str">
        <x:v>Prisoner's dilemma</x:v>
      </x:c>
      <x:c r="L30" s="16" t="str">
        <x:v>Public</x:v>
      </x:c>
      <x:c r="M30" s="16" t="str">
        <x:v>https://openneuro.org/datasets/ds007822/versions/1.0.0</x:v>
      </x:c>
      <x:c r="N30" s="16" t="str">
        <x:v>https://openneuro.org/datasets/ds007822/versions/1.0.0</x:v>
      </x:c>
      <x:c r="O30" s="16" t="str">
        <x:v>Decision-Making Comparator</x:v>
      </x:c>
      <x:c r="P30" s="16" t="str">
        <x:v>Very close on group decision + EEG hyperscanning.</x:v>
      </x:c>
      <x:c r="Q30" s="16" t="str">
        <x:v>No multimodal physiology/audio/video/eye tracking; 3 not 5 people.</x:v>
      </x:c>
      <x:c r="R30" s="16" t="str">
        <x:v>High</x:v>
      </x:c>
      <x:c r="S30" s="16" t="str">
        <x:v>Legacy entry — re-verification required</x:v>
      </x:c>
      <x:c r="T30" s="16" t="str">
        <x:v>Not read</x:v>
      </x:c>
      <x:c r="U30" s="16" t="str">
        <x:v>Existing ARL literature</x:v>
      </x:c>
      <x:c r="V30" s="16" t="str">
        <x:v>Pending</x:v>
      </x:c>
      <x:c r="W30" s="16" t="str"/>
      <x:c r="X30" s="16" t="str">
        <x:v>Important ARL comparison</x:v>
      </x:c>
      <x:c r="Y30" s="16" t="str"/>
    </x:row>
    <x:row r="31">
      <x:c r="A31" s="16" t="str">
        <x:v>MDMER-0037</x:v>
      </x:c>
      <x:c r="B31" s="16" t="str">
        <x:v>Tier 3</x:v>
      </x:c>
      <x:c r="C31" s="16" t="str">
        <x:v>Decision/social neuroscience</x:v>
      </x:c>
      <x:c r="D31" s="16" t="str">
        <x:v>Dataset paper</x:v>
      </x:c>
      <x:c r="E31" s="16" t="str">
        <x:v>An EEG Dataset of Neural Signatures in a Competitive Two-Player Card Game</x:v>
      </x:c>
      <x:c r="F31" s="16" t="n">
        <x:v>2024</x:v>
      </x:c>
      <x:c r="G31" s="16" t="str">
        <x:v>Chen et al.</x:v>
      </x:c>
      <x:c r="H31" s="16" t="str"/>
      <x:c r="I31" s="16" t="str">
        <x:v>EEG; behavioral data</x:v>
      </x:c>
      <x:c r="J31" s="16" t="str">
        <x:v>Two-player</x:v>
      </x:c>
      <x:c r="K31" s="16" t="str">
        <x:v>Competitive card game / deception</x:v>
      </x:c>
      <x:c r="L31" s="16" t="str">
        <x:v>Public/Scientific Data</x:v>
      </x:c>
      <x:c r="M31" s="16" t="str">
        <x:v>https://www.nature.com/articles/s41597-024-03234-y</x:v>
      </x:c>
      <x:c r="N31" s="16" t="str">
        <x:v>https://www.nature.com/articles/s41597-024-03234-y</x:v>
      </x:c>
      <x:c r="O31" s="16" t="str">
        <x:v>Decision-Making Comparator</x:v>
      </x:c>
      <x:c r="P31" s="16" t="str">
        <x:v>Highly relevant deception/competition EEG dataset.</x:v>
      </x:c>
      <x:c r="Q31" s="16" t="str">
        <x:v>Dyadic; no ECG/GSR/EMG/eye/audio/video group capture.</x:v>
      </x:c>
      <x:c r="R31" s="16" t="str">
        <x:v>High</x:v>
      </x:c>
      <x:c r="S31" s="16" t="str">
        <x:v>Legacy entry — re-verification required</x:v>
      </x:c>
      <x:c r="T31" s="16" t="str">
        <x:v>Not read</x:v>
      </x:c>
      <x:c r="U31" s="16" t="str">
        <x:v>Existing ARL literature</x:v>
      </x:c>
      <x:c r="V31" s="16" t="str">
        <x:v>Pending</x:v>
      </x:c>
      <x:c r="W31" s="16" t="str"/>
      <x:c r="X31" s="16" t="str">
        <x:v>Strong ARL novelty comparison</x:v>
      </x:c>
      <x:c r="Y31" s="16" t="str"/>
    </x:row>
    <x:row r="32">
      <x:c r="A32" s="16" t="str">
        <x:v>MDMER-0038</x:v>
      </x:c>
      <x:c r="B32" s="16" t="str">
        <x:v>Tier 3</x:v>
      </x:c>
      <x:c r="C32" s="16" t="str">
        <x:v>Decision/social neuroscience</x:v>
      </x:c>
      <x:c r="D32" s="16" t="str">
        <x:v>Dataset paper</x:v>
      </x:c>
      <x:c r="E32" s="16" t="str">
        <x:v>IllusionGameEEG Dataset</x:v>
      </x:c>
      <x:c r="F32" s="16" t="n">
        <x:v>2023</x:v>
      </x:c>
      <x:c r="G32" s="16" t="str">
        <x:v>OpenNeuro ds004587</x:v>
      </x:c>
      <x:c r="H32" s="16" t="str"/>
      <x:c r="I32" s="16" t="str">
        <x:v>EEG; physiological; behavioral data</x:v>
      </x:c>
      <x:c r="J32" s="16" t="str">
        <x:v>Individual</x:v>
      </x:c>
      <x:c r="K32" s="16" t="str">
        <x:v>Illusion/game-like cognitive task</x:v>
      </x:c>
      <x:c r="L32" s="16" t="str">
        <x:v>Public</x:v>
      </x:c>
      <x:c r="M32" s="16" t="str">
        <x:v>https://openneuro.org/datasets/ds004587/versions/1.0.0</x:v>
      </x:c>
      <x:c r="N32" s="16" t="str">
        <x:v>https://openneuro.org/datasets/ds004587/versions/1.0.0</x:v>
      </x:c>
      <x:c r="O32" s="16" t="str">
        <x:v>Decision-Making Comparator</x:v>
      </x:c>
      <x:c r="P32" s="16" t="str">
        <x:v>EEG + physiology + behavioral data in game-like task.</x:v>
      </x:c>
      <x:c r="Q32" s="16" t="str">
        <x:v>No group interaction/social deduction.</x:v>
      </x:c>
      <x:c r="R32" s="16" t="str">
        <x:v>Medium</x:v>
      </x:c>
      <x:c r="S32" s="16" t="str">
        <x:v>Legacy entry — re-verification required</x:v>
      </x:c>
      <x:c r="T32" s="16" t="str">
        <x:v>To verify</x:v>
      </x:c>
      <x:c r="U32" s="16" t="str">
        <x:v>Existing ARL literature</x:v>
      </x:c>
      <x:c r="V32" s="16" t="str">
        <x:v>Pending</x:v>
      </x:c>
      <x:c r="W32" s="16" t="str"/>
      <x:c r="X32" s="16" t="str">
        <x:v>Potential methods comparison</x:v>
      </x:c>
      <x:c r="Y32" s="16" t="str"/>
    </x:row>
    <x:row r="33">
      <x:c r="A33" s="16" t="str">
        <x:v>MDMER-0041</x:v>
      </x:c>
      <x:c r="B33" s="16" t="str">
        <x:v>Tier 3</x:v>
      </x:c>
      <x:c r="C33" s="16" t="str">
        <x:v>Deception/social deduction</x:v>
      </x:c>
      <x:c r="D33" s="16" t="str">
        <x:v>Dataset paper</x:v>
      </x:c>
      <x:c r="E33" s="16" t="str">
        <x:v>Box of Lies: Multimodal Deception Detection in Dialogues</x:v>
      </x:c>
      <x:c r="F33" s="16" t="n">
        <x:v>2019</x:v>
      </x:c>
      <x:c r="G33" s="16" t="str">
        <x:v>Soldner et al.</x:v>
      </x:c>
      <x:c r="H33" s="16" t="str"/>
      <x:c r="I33" s="16" t="str">
        <x:v>Dialogue; audio; video; nonverbal/verbal features</x:v>
      </x:c>
      <x:c r="J33" s="16" t="str">
        <x:v>Dyads</x:v>
      </x:c>
      <x:c r="K33" s="16" t="str">
        <x:v>Deception dialogue game</x:v>
      </x:c>
      <x:c r="L33" s="16" t="str">
        <x:v>Data on request</x:v>
      </x:c>
      <x:c r="M33" s="16" t="str">
        <x:v>https://web.eecs.umich.edu/~mihalcea/papers/soldner.naacl19.pdf</x:v>
      </x:c>
      <x:c r="N33" s="16" t="str">
        <x:v>https://web.eecs.umich.edu/~mihalcea/papers/soldner.naacl19.pdf</x:v>
      </x:c>
      <x:c r="O33" s="16" t="str">
        <x:v>Decision-Making Comparator</x:v>
      </x:c>
      <x:c r="P33" s="16" t="str">
        <x:v>Very relevant multimodal deception-in-dialogue dataset.</x:v>
      </x:c>
      <x:c r="Q33" s="16" t="str">
        <x:v>No physiology; dyadic; smaller controlled game.</x:v>
      </x:c>
      <x:c r="R33" s="16" t="str">
        <x:v>High</x:v>
      </x:c>
      <x:c r="S33" s="16" t="str">
        <x:v>Legacy entry — re-verification required</x:v>
      </x:c>
      <x:c r="T33" s="16" t="str">
        <x:v>Not read</x:v>
      </x:c>
      <x:c r="U33" s="16" t="str">
        <x:v>Existing ARL literature</x:v>
      </x:c>
      <x:c r="V33" s="16" t="str">
        <x:v>Pending</x:v>
      </x:c>
      <x:c r="W33" s="16" t="str"/>
      <x:c r="X33" s="16" t="str">
        <x:v>Important for deception section</x:v>
      </x:c>
      <x:c r="Y33" s="16" t="str"/>
    </x:row>
    <x:row r="34">
      <x:c r="A34" s="16" t="str">
        <x:v>MDMER-0042</x:v>
      </x:c>
      <x:c r="B34" s="16" t="str">
        <x:v>Tier 3</x:v>
      </x:c>
      <x:c r="C34" s="16" t="str">
        <x:v>Deception/social deduction</x:v>
      </x:c>
      <x:c r="D34" s="16" t="str">
        <x:v>Dataset paper</x:v>
      </x:c>
      <x:c r="E34" s="16" t="str">
        <x:v>Bag-of-Lies: Multimodal Dataset for Deception Detection</x:v>
      </x:c>
      <x:c r="F34" s="16" t="n">
        <x:v>2019</x:v>
      </x:c>
      <x:c r="G34" s="16" t="str">
        <x:v>Gupta et al.</x:v>
      </x:c>
      <x:c r="H34" s="16" t="str"/>
      <x:c r="I34" s="16" t="str">
        <x:v>EEG; video; audio?; behavioral/questionnaire depending release</x:v>
      </x:c>
      <x:c r="J34" s="16" t="str">
        <x:v>Individual/dyadic</x:v>
      </x:c>
      <x:c r="K34" s="16" t="str">
        <x:v>Casual deception scenarios</x:v>
      </x:c>
      <x:c r="L34" s="16" t="str">
        <x:v>Research access</x:v>
      </x:c>
      <x:c r="M34" s="16" t="str">
        <x:v>https://paperswithcode.com/dataset/bag-of-lies</x:v>
      </x:c>
      <x:c r="N34" s="16" t="str">
        <x:v>https://ieeexplore.ieee.org/document/8901672/</x:v>
      </x:c>
      <x:c r="O34" s="16" t="str">
        <x:v>Decision-Making Comparator</x:v>
      </x:c>
      <x:c r="P34" s="16" t="str">
        <x:v>Relevant because deception plus EEG appears together.</x:v>
      </x:c>
      <x:c r="Q34" s="16" t="str">
        <x:v>Need verify modalities/access; not group social deduction.</x:v>
      </x:c>
      <x:c r="R34" s="16" t="str">
        <x:v>High</x:v>
      </x:c>
      <x:c r="S34" s="16" t="str">
        <x:v>Legacy entry — re-verification required</x:v>
      </x:c>
      <x:c r="T34" s="16" t="str">
        <x:v>To verify</x:v>
      </x:c>
      <x:c r="U34" s="16" t="str">
        <x:v>Existing ARL literature</x:v>
      </x:c>
      <x:c r="V34" s="16" t="str">
        <x:v>Pending</x:v>
      </x:c>
      <x:c r="W34" s="16" t="str"/>
      <x:c r="X34" s="16" t="str">
        <x:v>Very important if accessible</x:v>
      </x:c>
      <x:c r="Y34" s="16" t="str"/>
    </x:row>
    <x:row r="35">
      <x:c r="A35" s="16" t="str">
        <x:v>MDMER-0043</x:v>
      </x:c>
      <x:c r="B35" s="16" t="str">
        <x:v>Tier 3</x:v>
      </x:c>
      <x:c r="C35" s="16" t="str">
        <x:v>Deception/social deduction</x:v>
      </x:c>
      <x:c r="D35" s="16" t="str">
        <x:v>Dataset paper</x:v>
      </x:c>
      <x:c r="E35" s="16" t="str">
        <x:v>EEG Dataset for Lie Detection Based on EEG Signals and Wavelets</x:v>
      </x:c>
      <x:c r="F35" s="16" t="n">
        <x:v>2024</x:v>
      </x:c>
      <x:c r="G35" s="16" t="str">
        <x:v>Mendeley Data</x:v>
      </x:c>
      <x:c r="H35" s="16" t="str"/>
      <x:c r="I35" s="16" t="str">
        <x:v>EEG from Emotiv Insight</x:v>
      </x:c>
      <x:c r="J35" s="16" t="str">
        <x:v>Individual</x:v>
      </x:c>
      <x:c r="K35" s="16" t="str">
        <x:v>Lie/truth-telling bead-box task</x:v>
      </x:c>
      <x:c r="L35" s="16" t="str">
        <x:v>Public</x:v>
      </x:c>
      <x:c r="M35" s="16" t="str">
        <x:v>https://data.mendeley.com/datasets/5gzxb2bzs2</x:v>
      </x:c>
      <x:c r="N35" s="16" t="str">
        <x:v>https://data.mendeley.com/datasets/5gzxb2bzs2</x:v>
      </x:c>
      <x:c r="O35" s="16" t="str">
        <x:v>Decision-Making Comparator</x:v>
      </x:c>
      <x:c r="P35" s="16" t="str">
        <x:v>Useful because ARL uses Emotiv Insight and deception-relevant task.</x:v>
      </x:c>
      <x:c r="Q35" s="16" t="str">
        <x:v>No group interaction/multimodal physiology.</x:v>
      </x:c>
      <x:c r="R35" s="16" t="str">
        <x:v>Medium</x:v>
      </x:c>
      <x:c r="S35" s="16" t="str">
        <x:v>Legacy entry — re-verification required</x:v>
      </x:c>
      <x:c r="T35" s="16" t="str">
        <x:v>Not read</x:v>
      </x:c>
      <x:c r="U35" s="16" t="str">
        <x:v>Existing ARL literature</x:v>
      </x:c>
      <x:c r="V35" s="16" t="str">
        <x:v>Pending</x:v>
      </x:c>
      <x:c r="W35" s="16" t="str"/>
      <x:c r="X35" s="16" t="str">
        <x:v>Good methods pilot reference</x:v>
      </x:c>
      <x:c r="Y35" s="16" t="str"/>
    </x:row>
    <x:row r="36">
      <x:c r="A36" s="16" t="str">
        <x:v>MDMER-0046</x:v>
      </x:c>
      <x:c r="B36" s="16" t="str">
        <x:v>Tier 3</x:v>
      </x:c>
      <x:c r="C36" s="16" t="str">
        <x:v>Deception/social deduction</x:v>
      </x:c>
      <x:c r="D36" s="16" t="str">
        <x:v>Dataset paper</x:v>
      </x:c>
      <x:c r="E36" s="16" t="str">
        <x:v>Diplomacy / Deception in Negotiation Dataset</x:v>
      </x:c>
      <x:c r="F36" s="16" t="n">
        <x:v>2020</x:v>
      </x:c>
      <x:c r="G36" s="16" t="str">
        <x:v>Peskov et al.</x:v>
      </x:c>
      <x:c r="H36" s="16" t="str"/>
      <x:c r="I36" s="16" t="str">
        <x:v>Text dialogue; game logs</x:v>
      </x:c>
      <x:c r="J36" s="16" t="str">
        <x:v>Groups/players</x:v>
      </x:c>
      <x:c r="K36" s="16" t="str">
        <x:v>Diplomacy negotiation and deception</x:v>
      </x:c>
      <x:c r="L36" s="16" t="str">
        <x:v>Public/research</x:v>
      </x:c>
      <x:c r="M36" s="16" t="str">
        <x:v>https://sites.google.com/view/qanta/projects/diplomacy</x:v>
      </x:c>
      <x:c r="N36" s="16" t="str">
        <x:v>https://aclanthology.org/2020.acl-main.353/</x:v>
      </x:c>
      <x:c r="O36" s="16" t="str">
        <x:v>Decision-Making Comparator</x:v>
      </x:c>
      <x:c r="P36" s="16" t="str">
        <x:v>Useful for deception and strategic communication modeling.</x:v>
      </x:c>
      <x:c r="Q36" s="16" t="str">
        <x:v>Text-only; no sensor data.</x:v>
      </x:c>
      <x:c r="R36" s="16" t="str">
        <x:v>Medium</x:v>
      </x:c>
      <x:c r="S36" s="16" t="str">
        <x:v>Legacy entry — re-verification required</x:v>
      </x:c>
      <x:c r="T36" s="16" t="str">
        <x:v>To verify</x:v>
      </x:c>
      <x:c r="U36" s="16" t="str">
        <x:v>Existing ARL literature</x:v>
      </x:c>
      <x:c r="V36" s="16" t="str">
        <x:v>Pending</x:v>
      </x:c>
      <x:c r="W36" s="16" t="str"/>
      <x:c r="X36" s="16" t="str">
        <x:v>Useful for language features</x:v>
      </x:c>
      <x:c r="Y36" s="16" t="str"/>
    </x:row>
    <x:row r="37">
      <x:c r="A37" s="16" t="str">
        <x:v>MDMER-0047</x:v>
      </x:c>
      <x:c r="B37" s="16" t="str">
        <x:v>Tier 3</x:v>
      </x:c>
      <x:c r="C37" s="16" t="str">
        <x:v>Deception/social deduction</x:v>
      </x:c>
      <x:c r="D37" s="16" t="str">
        <x:v>Dataset paper</x:v>
      </x:c>
      <x:c r="E37" s="16" t="str">
        <x:v>Bayesian Social Deduction with Graph-Informed Language Models Dataset</x:v>
      </x:c>
      <x:c r="F37" s="16" t="n">
        <x:v>2025</x:v>
      </x:c>
      <x:c r="G37" s="16" t="str">
        <x:v>Rahimirad et al.</x:v>
      </x:c>
      <x:c r="H37" s="16" t="str"/>
      <x:c r="I37" s="16" t="str">
        <x:v>Game logs; language; agents/humans</x:v>
      </x:c>
      <x:c r="J37" s="16" t="str">
        <x:v>Groups</x:v>
      </x:c>
      <x:c r="K37" s="16" t="str">
        <x:v>Avalon social deduction</x:v>
      </x:c>
      <x:c r="L37" s="16" t="str">
        <x:v>Public</x:v>
      </x:c>
      <x:c r="M37" s="16" t="str">
        <x:v>https://huggingface.co/datasets/shahabrahimirad/bayesian-social-deduction</x:v>
      </x:c>
      <x:c r="N37" s="16" t="str">
        <x:v>https://huggingface.co/datasets/shahabrahimirad/bayesian-social-deduction</x:v>
      </x:c>
      <x:c r="O37" s="16" t="str">
        <x:v>Decision-Making Comparator</x:v>
      </x:c>
      <x:c r="P37" s="16" t="str">
        <x:v>Recent social deduction dataset with strategic communication.</x:v>
      </x:c>
      <x:c r="Q37" s="16" t="str">
        <x:v>No physiology; AI/game-log focus.</x:v>
      </x:c>
      <x:c r="R37" s="16" t="str">
        <x:v>Low</x:v>
      </x:c>
      <x:c r="S37" s="16" t="str">
        <x:v>Legacy entry — re-verification required</x:v>
      </x:c>
      <x:c r="T37" s="16" t="str">
        <x:v>To verify</x:v>
      </x:c>
      <x:c r="U37" s="16" t="str">
        <x:v>Existing ARL literature</x:v>
      </x:c>
      <x:c r="V37" s="16" t="str">
        <x:v>Pending</x:v>
      </x:c>
      <x:c r="W37" s="16" t="str"/>
      <x:c r="X37" s="16" t="str">
        <x:v>Useful only for AI/deception framing</x:v>
      </x:c>
      <x:c r="Y37" s="16" t="str"/>
    </x:row>
    <x:row r="38">
      <x:c r="A38" s="16" t="str">
        <x:v>MDMER-0051</x:v>
      </x:c>
      <x:c r="B38" s="16" t="str">
        <x:v>Tier 1</x:v>
      </x:c>
      <x:c r="C38" s="16" t="str">
        <x:v>Core multimodal datasets</x:v>
      </x:c>
      <x:c r="D38" s="16" t="str">
        <x:v>Dataset paper</x:v>
      </x:c>
      <x:c r="E38" s="16" t="str">
        <x:v>CogniModal-D: Multimodal Machine Learning for Deception Detection Using Behavioral and Physiological Data</x:v>
      </x:c>
      <x:c r="F38" s="16" t="n">
        <x:v>2025</x:v>
      </x:c>
      <x:c r="G38" s="16" t="str">
        <x:v>Joshi et al.</x:v>
      </x:c>
      <x:c r="H38" s="16" t="str"/>
      <x:c r="I38" s="16" t="str">
        <x:v>EEG; ECG; EOG; gaze; GSR; audio; video</x:v>
      </x:c>
      <x:c r="J38" s="16" t="str">
        <x:v>Individual</x:v>
      </x:c>
      <x:c r="K38" s="16" t="str">
        <x:v>Social-relationship and mock-crime deception tasks</x:v>
      </x:c>
      <x:c r="L38" s="16" t="str">
        <x:v>Public/academic</x:v>
      </x:c>
      <x:c r="M38" s="16" t="str"/>
      <x:c r="N38" s="16" t="str">
        <x:v>https://www.nature.com/articles/s41598-025-92399-6</x:v>
      </x:c>
      <x:c r="O38" s="16" t="str">
        <x:v>Direct comparator</x:v>
      </x:c>
      <x:c r="P38" s="16" t="str">
        <x:v>Seven modalities plus deception; one of the closest sensing comparators to ARL.</x:v>
      </x:c>
      <x:c r="Q38" s="16" t="str">
        <x:v>Requires structured comparison against ARL sensing, interaction, decision, and synchronization features.</x:v>
      </x:c>
      <x:c r="R38" s="16" t="str">
        <x:v>Must read</x:v>
      </x:c>
      <x:c r="S38" s="16" t="str">
        <x:v>Source checked</x:v>
      </x:c>
      <x:c r="T38" s="16" t="str">
        <x:v>Not read</x:v>
      </x:c>
      <x:c r="U38" s="16" t="str">
        <x:v>Web search</x:v>
      </x:c>
      <x:c r="V38" s="16" t="str">
        <x:v>Pending</x:v>
      </x:c>
      <x:c r="W38" s="16" t="str"/>
      <x:c r="X38" s="16" t="str">
        <x:v>Added during expansion from 50 to 150 records.</x:v>
      </x:c>
      <x:c r="Y38" s="16" t="str">
        <x:v>2026-08-25</x:v>
      </x:c>
    </x:row>
    <x:row r="39">
      <x:c r="A39" s="16" t="str">
        <x:v>MDMER-0052</x:v>
      </x:c>
      <x:c r="B39" s="16" t="str">
        <x:v>Tier 1</x:v>
      </x:c>
      <x:c r="C39" s="16" t="str">
        <x:v>Core multimodal datasets</x:v>
      </x:c>
      <x:c r="D39" s="16" t="str">
        <x:v>Dataset paper</x:v>
      </x:c>
      <x:c r="E39" s="16" t="str">
        <x:v>CoSuBio: Confidence and Success Dataset Based on Multimodal Biosignals</x:v>
      </x:c>
      <x:c r="F39" s="16" t="n">
        <x:v>2026</x:v>
      </x:c>
      <x:c r="G39" s="16" t="str">
        <x:v>Deniz &amp; Akbulut</x:v>
      </x:c>
      <x:c r="H39" s="16" t="str"/>
      <x:c r="I39" s="16" t="str">
        <x:v>EEG; EDA; BVP; temperature; accelerometer; limited facial video</x:v>
      </x:c>
      <x:c r="J39" s="16" t="str">
        <x:v>Individual</x:v>
      </x:c>
      <x:c r="K39" s="16" t="str">
        <x:v>Confidence manipulation; decision and cognitive tasks</x:v>
      </x:c>
      <x:c r="L39" s="16" t="str">
        <x:v>Public</x:v>
      </x:c>
      <x:c r="M39" s="16" t="str"/>
      <x:c r="N39" s="16" t="str">
        <x:v>https://doi.org/10.1016/j.dib.2026.112579</x:v>
      </x:c>
      <x:c r="O39" s="16" t="str">
        <x:v>Decision-making comparator</x:v>
      </x:c>
      <x:c r="P39" s="16" t="str">
        <x:v>Directly relevant to confidence measurement and decision behavior.</x:v>
      </x:c>
      <x:c r="Q39" s="16" t="str">
        <x:v>Requires structured comparison against ARL sensing, interaction, decision, and synchronization features.</x:v>
      </x:c>
      <x:c r="R39" s="16" t="str">
        <x:v>Must read</x:v>
      </x:c>
      <x:c r="S39" s="16" t="str">
        <x:v>Source checked</x:v>
      </x:c>
      <x:c r="T39" s="16" t="str">
        <x:v>Not read</x:v>
      </x:c>
      <x:c r="U39" s="16" t="str">
        <x:v>Web search</x:v>
      </x:c>
      <x:c r="V39" s="16" t="str">
        <x:v>Pending</x:v>
      </x:c>
      <x:c r="W39" s="16" t="str"/>
      <x:c r="X39" s="16" t="str">
        <x:v>Added during expansion from 50 to 150 records.</x:v>
      </x:c>
      <x:c r="Y39" s="16" t="str">
        <x:v>2026-08-25</x:v>
      </x:c>
    </x:row>
    <x:row r="40">
      <x:c r="A40" s="16" t="str">
        <x:v>MDMER-0053</x:v>
      </x:c>
      <x:c r="B40" s="16" t="str">
        <x:v>Tier 4</x:v>
      </x:c>
      <x:c r="C40" s="16" t="str">
        <x:v>Core multimodal datasets</x:v>
      </x:c>
      <x:c r="D40" s="16" t="str">
        <x:v>Dataset paper</x:v>
      </x:c>
      <x:c r="E40" s="16" t="str">
        <x:v>The Brain, Body, and Behavior Dataset (BBBD): Multimodal Recordings during Educational Videos</x:v>
      </x:c>
      <x:c r="F40" s="16" t="n">
        <x:v>2026</x:v>
      </x:c>
      <x:c r="G40" s="16" t="str">
        <x:v>Madsen et al.</x:v>
      </x:c>
      <x:c r="H40" s="16" t="str"/>
      <x:c r="I40" s="16" t="str">
        <x:v>EEG; EOG; ECG; respiration; pupil; gaze; head motion</x:v>
      </x:c>
      <x:c r="J40" s="16" t="str">
        <x:v>Individual</x:v>
      </x:c>
      <x:c r="K40" s="16" t="str">
        <x:v>Educational video viewing</x:v>
      </x:c>
      <x:c r="L40" s="16" t="str">
        <x:v>Public</x:v>
      </x:c>
      <x:c r="M40" s="16" t="str"/>
      <x:c r="N40" s="16" t="str">
        <x:v>https://www.nature.com/articles/s41597-026-07215-1</x:v>
      </x:c>
      <x:c r="O40" s="16" t="str">
        <x:v>Modality comparator</x:v>
      </x:c>
      <x:c r="P40" s="16" t="str">
        <x:v>Excellent multimodal synchronization and BIDS reference.</x:v>
      </x:c>
      <x:c r="Q40" s="16" t="str">
        <x:v>Requires structured comparison against ARL sensing, interaction, decision, and synchronization features.</x:v>
      </x:c>
      <x:c r="R40" s="16" t="str">
        <x:v>High</x:v>
      </x:c>
      <x:c r="S40" s="16" t="str">
        <x:v>Source checked</x:v>
      </x:c>
      <x:c r="T40" s="16" t="str">
        <x:v>Not read</x:v>
      </x:c>
      <x:c r="U40" s="16" t="str">
        <x:v>Web search</x:v>
      </x:c>
      <x:c r="V40" s="16" t="str">
        <x:v>Pending</x:v>
      </x:c>
      <x:c r="W40" s="16" t="str"/>
      <x:c r="X40" s="16" t="str">
        <x:v>Added during expansion from 50 to 150 records.</x:v>
      </x:c>
      <x:c r="Y40" s="16" t="str">
        <x:v>2026-08-25</x:v>
      </x:c>
    </x:row>
    <x:row r="41">
      <x:c r="A41" s="16" t="str">
        <x:v>MDMER-0054</x:v>
      </x:c>
      <x:c r="B41" s="16" t="str">
        <x:v>Tier 1</x:v>
      </x:c>
      <x:c r="C41" s="16" t="str">
        <x:v>Core multimodal datasets</x:v>
      </x:c>
      <x:c r="D41" s="16" t="str">
        <x:v>Dataset paper</x:v>
      </x:c>
      <x:c r="E41" s="16" t="str">
        <x:v>A Multimodal Dataset for Neurophysiological and AI Applications</x:v>
      </x:c>
      <x:c r="F41" s="16" t="n">
        <x:v>2026</x:v>
      </x:c>
      <x:c r="G41" s="16" t="str">
        <x:v>Multiple authors</x:v>
      </x:c>
      <x:c r="H41" s="16" t="str"/>
      <x:c r="I41" s="16" t="str">
        <x:v>EEG; eye tracking; EDA; heart rate; game event logs</x:v>
      </x:c>
      <x:c r="J41" s="16" t="str">
        <x:v>Individual</x:v>
      </x:c>
      <x:c r="K41" s="16" t="str">
        <x:v>Interactive game tasks</x:v>
      </x:c>
      <x:c r="L41" s="16" t="str">
        <x:v>Public</x:v>
      </x:c>
      <x:c r="M41" s="16" t="str">
        <x:v>https://doi.org/10.6084/m9.figshare.28676042</x:v>
      </x:c>
      <x:c r="N41" s="16" t="str">
        <x:v>https://www.nature.com/articles/s41597-026-06758-7</x:v>
      </x:c>
      <x:c r="O41" s="16" t="str">
        <x:v>Direct comparator</x:v>
      </x:c>
      <x:c r="P41" s="16" t="str">
        <x:v>Combines neurophysiology, gaze, physiology, and game event logs.</x:v>
      </x:c>
      <x:c r="Q41" s="16" t="str">
        <x:v>Requires structured comparison against ARL sensing, interaction, decision, and synchronization features.</x:v>
      </x:c>
      <x:c r="R41" s="16" t="str">
        <x:v>Must read</x:v>
      </x:c>
      <x:c r="S41" s="16" t="str">
        <x:v>Source checked</x:v>
      </x:c>
      <x:c r="T41" s="16" t="str">
        <x:v>Not read</x:v>
      </x:c>
      <x:c r="U41" s="16" t="str">
        <x:v>Web search</x:v>
      </x:c>
      <x:c r="V41" s="16" t="str">
        <x:v>Pending</x:v>
      </x:c>
      <x:c r="W41" s="16" t="str"/>
      <x:c r="X41" s="16" t="str">
        <x:v>Added during expansion from 50 to 150 records.</x:v>
      </x:c>
      <x:c r="Y41" s="16" t="str">
        <x:v>2026-08-25</x:v>
      </x:c>
    </x:row>
    <x:row r="42">
      <x:c r="A42" s="16" t="str">
        <x:v>MDMER-0055</x:v>
      </x:c>
      <x:c r="B42" s="16" t="str">
        <x:v>Tier 4</x:v>
      </x:c>
      <x:c r="C42" s="16" t="str">
        <x:v>Core multimodal datasets</x:v>
      </x:c>
      <x:c r="D42" s="16" t="str">
        <x:v>Dataset paper</x:v>
      </x:c>
      <x:c r="E42" s="16" t="str">
        <x:v>SENSE-42: A Multimodal Human-Computer Interaction Dataset for Neurocognitive User State Evaluation</x:v>
      </x:c>
      <x:c r="F42" s="16" t="n">
        <x:v>2026</x:v>
      </x:c>
      <x:c r="G42" s="16" t="str">
        <x:v>Zhang et al.</x:v>
      </x:c>
      <x:c r="H42" s="16" t="str"/>
      <x:c r="I42" s="16" t="str">
        <x:v>EEG; ECG; respiration; keyboard; mouse; webcam; self-report</x:v>
      </x:c>
      <x:c r="J42" s="16" t="str">
        <x:v>Individual</x:v>
      </x:c>
      <x:c r="K42" s="16" t="str">
        <x:v>Desktop tasks and alertness probes</x:v>
      </x:c>
      <x:c r="L42" s="16" t="str">
        <x:v>Public</x:v>
      </x:c>
      <x:c r="M42" s="16" t="str"/>
      <x:c r="N42" s="16" t="str">
        <x:v>https://www.nature.com/articles/s41597-026-07726-x</x:v>
      </x:c>
      <x:c r="O42" s="16" t="str">
        <x:v>Modality comparator</x:v>
      </x:c>
      <x:c r="P42" s="16" t="str">
        <x:v>Useful for synchronized behavior + physiology architecture.</x:v>
      </x:c>
      <x:c r="Q42" s="16" t="str">
        <x:v>Requires structured comparison against ARL sensing, interaction, decision, and synchronization features.</x:v>
      </x:c>
      <x:c r="R42" s="16" t="str">
        <x:v>High</x:v>
      </x:c>
      <x:c r="S42" s="16" t="str">
        <x:v>Source checked</x:v>
      </x:c>
      <x:c r="T42" s="16" t="str">
        <x:v>Not read</x:v>
      </x:c>
      <x:c r="U42" s="16" t="str">
        <x:v>Web search</x:v>
      </x:c>
      <x:c r="V42" s="16" t="str">
        <x:v>Pending</x:v>
      </x:c>
      <x:c r="W42" s="16" t="str"/>
      <x:c r="X42" s="16" t="str">
        <x:v>Added during expansion from 50 to 150 records.</x:v>
      </x:c>
      <x:c r="Y42" s="16" t="str">
        <x:v>2026-08-25</x:v>
      </x:c>
    </x:row>
    <x:row r="43">
      <x:c r="A43" s="16" t="str">
        <x:v>MDMER-0056</x:v>
      </x:c>
      <x:c r="B43" s="16" t="str">
        <x:v>Tier 4</x:v>
      </x:c>
      <x:c r="C43" s="16" t="str">
        <x:v>Core multimodal datasets</x:v>
      </x:c>
      <x:c r="D43" s="16" t="str">
        <x:v>Dataset paper</x:v>
      </x:c>
      <x:c r="E43" s="16" t="str">
        <x:v>EAV: EEG-Audio-Video Dataset for Emotion Recognition in Conversational Contexts</x:v>
      </x:c>
      <x:c r="F43" s="16" t="n">
        <x:v>2024</x:v>
      </x:c>
      <x:c r="G43" s="16" t="str">
        <x:v>Lee et al.</x:v>
      </x:c>
      <x:c r="H43" s="16" t="str"/>
      <x:c r="I43" s="16" t="str">
        <x:v>EEG; audio; video</x:v>
      </x:c>
      <x:c r="J43" s="16" t="str">
        <x:v>Individual/conversational system</x:v>
      </x:c>
      <x:c r="K43" s="16" t="str">
        <x:v>Emotion expression in conversational context</x:v>
      </x:c>
      <x:c r="L43" s="16" t="str">
        <x:v>Public</x:v>
      </x:c>
      <x:c r="M43" s="16" t="str"/>
      <x:c r="N43" s="16" t="str">
        <x:v>https://www.nature.com/articles/s41597-024-03838-4</x:v>
      </x:c>
      <x:c r="O43" s="16" t="str">
        <x:v>Modality comparator</x:v>
      </x:c>
      <x:c r="P43" s="16" t="str">
        <x:v>EEG plus audio/video in conversational setting.</x:v>
      </x:c>
      <x:c r="Q43" s="16" t="str">
        <x:v>Requires structured comparison against ARL sensing, interaction, decision, and synchronization features.</x:v>
      </x:c>
      <x:c r="R43" s="16" t="str">
        <x:v>High</x:v>
      </x:c>
      <x:c r="S43" s="16" t="str">
        <x:v>Source checked</x:v>
      </x:c>
      <x:c r="T43" s="16" t="str">
        <x:v>Not read</x:v>
      </x:c>
      <x:c r="U43" s="16" t="str">
        <x:v>Web search</x:v>
      </x:c>
      <x:c r="V43" s="16" t="str">
        <x:v>Pending</x:v>
      </x:c>
      <x:c r="W43" s="16" t="str"/>
      <x:c r="X43" s="16" t="str">
        <x:v>Added during expansion from 50 to 150 records.</x:v>
      </x:c>
      <x:c r="Y43" s="16" t="str">
        <x:v>2026-08-25</x:v>
      </x:c>
    </x:row>
    <x:row r="44">
      <x:c r="A44" s="16" t="str">
        <x:v>MDMER-0057</x:v>
      </x:c>
      <x:c r="B44" s="16" t="str">
        <x:v>Tier 4</x:v>
      </x:c>
      <x:c r="C44" s="16" t="str">
        <x:v>Core multimodal datasets</x:v>
      </x:c>
      <x:c r="D44" s="16" t="str">
        <x:v>Dataset paper</x:v>
      </x:c>
      <x:c r="E44" s="16" t="str">
        <x:v>A Multimodal Dataset for Mixed Emotion Recognition</x:v>
      </x:c>
      <x:c r="F44" s="16" t="n">
        <x:v>2024</x:v>
      </x:c>
      <x:c r="G44" s="16" t="str">
        <x:v>Multiple authors</x:v>
      </x:c>
      <x:c r="H44" s="16" t="str"/>
      <x:c r="I44" s="16" t="str">
        <x:v>EEG; GSR; PPG; face video</x:v>
      </x:c>
      <x:c r="J44" s="16" t="str">
        <x:v>Individual</x:v>
      </x:c>
      <x:c r="K44" s="16" t="str">
        <x:v>Mixed-emotion video stimuli</x:v>
      </x:c>
      <x:c r="L44" s="16" t="str">
        <x:v>Request/public</x:v>
      </x:c>
      <x:c r="M44" s="16" t="str">
        <x:v>https://doi.org/10.5281/zenodo.11194571</x:v>
      </x:c>
      <x:c r="N44" s="16" t="str">
        <x:v>https://www.nature.com/articles/s41597-024-03676-4</x:v>
      </x:c>
      <x:c r="O44" s="16" t="str">
        <x:v>Modality comparator</x:v>
      </x:c>
      <x:c r="P44" s="16" t="str">
        <x:v>Time-aligned EEG/peripheral physiology/video.</x:v>
      </x:c>
      <x:c r="Q44" s="16" t="str">
        <x:v>Requires structured comparison against ARL sensing, interaction, decision, and synchronization features.</x:v>
      </x:c>
      <x:c r="R44" s="16" t="str">
        <x:v>Medium</x:v>
      </x:c>
      <x:c r="S44" s="16" t="str">
        <x:v>Source checked</x:v>
      </x:c>
      <x:c r="T44" s="16" t="str">
        <x:v>Not read</x:v>
      </x:c>
      <x:c r="U44" s="16" t="str">
        <x:v>Web search</x:v>
      </x:c>
      <x:c r="V44" s="16" t="str">
        <x:v>Pending</x:v>
      </x:c>
      <x:c r="W44" s="16" t="str"/>
      <x:c r="X44" s="16" t="str">
        <x:v>Added during expansion from 50 to 150 records.</x:v>
      </x:c>
      <x:c r="Y44" s="16" t="str">
        <x:v>2026-08-25</x:v>
      </x:c>
    </x:row>
    <x:row r="45">
      <x:c r="A45" s="16" t="str">
        <x:v>MDMER-0058</x:v>
      </x:c>
      <x:c r="B45" s="16" t="str">
        <x:v>Tier 2</x:v>
      </x:c>
      <x:c r="C45" s="16" t="str">
        <x:v>Core multimodal datasets</x:v>
      </x:c>
      <x:c r="D45" s="16" t="str">
        <x:v>Dataset paper</x:v>
      </x:c>
      <x:c r="E45" s="16" t="str">
        <x:v>A Dataset on the Experimental Study of Online and Offline Communication with Digital and Biomarkers</x:v>
      </x:c>
      <x:c r="F45" s="16" t="n">
        <x:v>2026</x:v>
      </x:c>
      <x:c r="G45" s="16" t="str">
        <x:v>Tsigeman et al.</x:v>
      </x:c>
      <x:c r="H45" s="16" t="str"/>
      <x:c r="I45" s="16" t="str">
        <x:v>Audio; video; salivary oxytocin; behavioral; self-report</x:v>
      </x:c>
      <x:c r="J45" s="16" t="str">
        <x:v>Dyads</x:v>
      </x:c>
      <x:c r="K45" s="16" t="str">
        <x:v>Face-to-face vs videoconference collaboration</x:v>
      </x:c>
      <x:c r="L45" s="16" t="str">
        <x:v>Public</x:v>
      </x:c>
      <x:c r="M45" s="16" t="str"/>
      <x:c r="N45" s="16" t="str">
        <x:v>https://www.nature.com/articles/s41597-026-07382-1</x:v>
      </x:c>
      <x:c r="O45" s="16" t="str">
        <x:v>Social/group comparator</x:v>
      </x:c>
      <x:c r="P45" s="16" t="str">
        <x:v>Naturalistic dyadic collaboration with biological and behavioral measures.</x:v>
      </x:c>
      <x:c r="Q45" s="16" t="str">
        <x:v>Requires structured comparison against ARL sensing, interaction, decision, and synchronization features.</x:v>
      </x:c>
      <x:c r="R45" s="16" t="str">
        <x:v>High</x:v>
      </x:c>
      <x:c r="S45" s="16" t="str">
        <x:v>Source checked</x:v>
      </x:c>
      <x:c r="T45" s="16" t="str">
        <x:v>Not read</x:v>
      </x:c>
      <x:c r="U45" s="16" t="str">
        <x:v>Web search</x:v>
      </x:c>
      <x:c r="V45" s="16" t="str">
        <x:v>Pending</x:v>
      </x:c>
      <x:c r="W45" s="16" t="str"/>
      <x:c r="X45" s="16" t="str">
        <x:v>Added during expansion from 50 to 150 records.</x:v>
      </x:c>
      <x:c r="Y45" s="16" t="str">
        <x:v>2026-08-25</x:v>
      </x:c>
    </x:row>
    <x:row r="46">
      <x:c r="A46" s="16" t="str">
        <x:v>MDMER-0059</x:v>
      </x:c>
      <x:c r="B46" s="16" t="str">
        <x:v>Tier 4</x:v>
      </x:c>
      <x:c r="C46" s="16" t="str">
        <x:v>Core multimodal datasets</x:v>
      </x:c>
      <x:c r="D46" s="16" t="str">
        <x:v>Dataset paper</x:v>
      </x:c>
      <x:c r="E46" s="16" t="str">
        <x:v>A Multimodal Physiological Dataset for Driving Behaviour Analysis</x:v>
      </x:c>
      <x:c r="F46" s="16" t="n">
        <x:v>2024</x:v>
      </x:c>
      <x:c r="G46" s="16" t="str">
        <x:v>Tao et al.</x:v>
      </x:c>
      <x:c r="H46" s="16" t="str"/>
      <x:c r="I46" s="16" t="str">
        <x:v>Physiological signals; behavioral driving data</x:v>
      </x:c>
      <x:c r="J46" s="16" t="str">
        <x:v>Individual</x:v>
      </x:c>
      <x:c r="K46" s="16" t="str">
        <x:v>Driving behavior</x:v>
      </x:c>
      <x:c r="L46" s="16" t="str">
        <x:v>Public</x:v>
      </x:c>
      <x:c r="M46" s="16" t="str"/>
      <x:c r="N46" s="16" t="str">
        <x:v>https://www.nature.com/articles/s41597-024-03222-2</x:v>
      </x:c>
      <x:c r="O46" s="16" t="str">
        <x:v>Modality comparator</x:v>
      </x:c>
      <x:c r="P46" s="16" t="str">
        <x:v>Useful multimodal physiology and event-alignment reference.</x:v>
      </x:c>
      <x:c r="Q46" s="16" t="str">
        <x:v>Requires structured comparison against ARL sensing, interaction, decision, and synchronization features.</x:v>
      </x:c>
      <x:c r="R46" s="16" t="str">
        <x:v>Medium</x:v>
      </x:c>
      <x:c r="S46" s="16" t="str">
        <x:v>Source checked</x:v>
      </x:c>
      <x:c r="T46" s="16" t="str">
        <x:v>Not read</x:v>
      </x:c>
      <x:c r="U46" s="16" t="str">
        <x:v>Web search</x:v>
      </x:c>
      <x:c r="V46" s="16" t="str">
        <x:v>Pending</x:v>
      </x:c>
      <x:c r="W46" s="16" t="str"/>
      <x:c r="X46" s="16" t="str">
        <x:v>Added during expansion from 50 to 150 records.</x:v>
      </x:c>
      <x:c r="Y46" s="16" t="str">
        <x:v>2026-08-25</x:v>
      </x:c>
    </x:row>
    <x:row r="47">
      <x:c r="A47" s="16" t="str">
        <x:v>MDMER-0060</x:v>
      </x:c>
      <x:c r="B47" s="16" t="str">
        <x:v>Tier 3</x:v>
      </x:c>
      <x:c r="C47" s="16" t="str">
        <x:v>Core multimodal datasets</x:v>
      </x:c>
      <x:c r="D47" s="16" t="str">
        <x:v>Dataset paper</x:v>
      </x:c>
      <x:c r="E47" s="16" t="str">
        <x:v>A Uniform Human Multimodal Dataset for Emotion Perception and Judgment</x:v>
      </x:c>
      <x:c r="F47" s="16" t="n">
        <x:v>2023</x:v>
      </x:c>
      <x:c r="G47" s="16" t="str">
        <x:v>Multiple authors</x:v>
      </x:c>
      <x:c r="H47" s="16" t="str"/>
      <x:c r="I47" s="16" t="str">
        <x:v>EEG; behavior; neuroimaging subsets</x:v>
      </x:c>
      <x:c r="J47" s="16" t="str">
        <x:v>Individual</x:v>
      </x:c>
      <x:c r="K47" s="16" t="str">
        <x:v>Two-alternative forced-choice emotion judgment</x:v>
      </x:c>
      <x:c r="L47" s="16" t="str">
        <x:v>Public</x:v>
      </x:c>
      <x:c r="M47" s="16" t="str"/>
      <x:c r="N47" s="16" t="str">
        <x:v>https://www.nature.com/articles/s41597-023-02693-z</x:v>
      </x:c>
      <x:c r="O47" s="16" t="str">
        <x:v>Decision-making comparator</x:v>
      </x:c>
      <x:c r="P47" s="16" t="str">
        <x:v>Judgment task with multimodal cognitive-neuroscience data.</x:v>
      </x:c>
      <x:c r="Q47" s="16" t="str">
        <x:v>Requires structured comparison against ARL sensing, interaction, decision, and synchronization features.</x:v>
      </x:c>
      <x:c r="R47" s="16" t="str">
        <x:v>Medium</x:v>
      </x:c>
      <x:c r="S47" s="16" t="str">
        <x:v>Source checked</x:v>
      </x:c>
      <x:c r="T47" s="16" t="str">
        <x:v>Not read</x:v>
      </x:c>
      <x:c r="U47" s="16" t="str">
        <x:v>Web search</x:v>
      </x:c>
      <x:c r="V47" s="16" t="str">
        <x:v>Pending</x:v>
      </x:c>
      <x:c r="W47" s="16" t="str"/>
      <x:c r="X47" s="16" t="str">
        <x:v>Added during expansion from 50 to 150 records.</x:v>
      </x:c>
      <x:c r="Y47" s="16" t="str">
        <x:v>2026-08-25</x:v>
      </x:c>
    </x:row>
    <x:row r="48">
      <x:c r="A48" s="16" t="str">
        <x:v>MDMER-0061</x:v>
      </x:c>
      <x:c r="B48" s="16" t="str">
        <x:v>Tier 4</x:v>
      </x:c>
      <x:c r="C48" s="16" t="str">
        <x:v>Core multimodal datasets</x:v>
      </x:c>
      <x:c r="D48" s="16" t="str">
        <x:v>Dataset paper</x:v>
      </x:c>
      <x:c r="E48" s="16" t="str">
        <x:v>An Open-Access Multi-modal Dataset for Cognitive, Motor and Cognitive-Motor Tasks</x:v>
      </x:c>
      <x:c r="F48" s="16" t="n">
        <x:v>2026</x:v>
      </x:c>
      <x:c r="G48" s="16" t="str">
        <x:v>Ajra et al.</x:v>
      </x:c>
      <x:c r="H48" s="16" t="str"/>
      <x:c r="I48" s="16" t="str">
        <x:v>EEG; fNIRS; ECG; behavior; subjective ratings</x:v>
      </x:c>
      <x:c r="J48" s="16" t="str">
        <x:v>Individual</x:v>
      </x:c>
      <x:c r="K48" s="16" t="str">
        <x:v>N-back; arithmetic; motor imagery; cognitive-motor tasks</x:v>
      </x:c>
      <x:c r="L48" s="16" t="str">
        <x:v>Public</x:v>
      </x:c>
      <x:c r="M48" s="16" t="str"/>
      <x:c r="N48" s="16" t="str">
        <x:v>https://www.nature.com/articles/s41597-026-08125-y</x:v>
      </x:c>
      <x:c r="O48" s="16" t="str">
        <x:v>Modality comparator</x:v>
      </x:c>
      <x:c r="P48" s="16" t="str">
        <x:v>Synchronized multimodal neurophysiology with repeated sessions.</x:v>
      </x:c>
      <x:c r="Q48" s="16" t="str">
        <x:v>Requires structured comparison against ARL sensing, interaction, decision, and synchronization features.</x:v>
      </x:c>
      <x:c r="R48" s="16" t="str">
        <x:v>High</x:v>
      </x:c>
      <x:c r="S48" s="16" t="str">
        <x:v>Source checked</x:v>
      </x:c>
      <x:c r="T48" s="16" t="str">
        <x:v>Not read</x:v>
      </x:c>
      <x:c r="U48" s="16" t="str">
        <x:v>Web search</x:v>
      </x:c>
      <x:c r="V48" s="16" t="str">
        <x:v>Pending</x:v>
      </x:c>
      <x:c r="W48" s="16" t="str"/>
      <x:c r="X48" s="16" t="str">
        <x:v>Added during expansion from 50 to 150 records.</x:v>
      </x:c>
      <x:c r="Y48" s="16" t="str">
        <x:v>2026-08-25</x:v>
      </x:c>
    </x:row>
    <x:row r="49">
      <x:c r="A49" s="16" t="str">
        <x:v>MDMER-0062</x:v>
      </x:c>
      <x:c r="B49" s="16" t="str">
        <x:v>Tier 4</x:v>
      </x:c>
      <x:c r="C49" s="16" t="str">
        <x:v>Core multimodal datasets</x:v>
      </x:c>
      <x:c r="D49" s="16" t="str">
        <x:v>Dataset paper</x:v>
      </x:c>
      <x:c r="E49" s="16" t="str">
        <x:v>A Resource for Assessing Information Processing in the Developing Brain Using EEG and Eye Tracking</x:v>
      </x:c>
      <x:c r="F49" s="16" t="n">
        <x:v>2017</x:v>
      </x:c>
      <x:c r="G49" s="16" t="str">
        <x:v>Langer et al.</x:v>
      </x:c>
      <x:c r="H49" s="16" t="str"/>
      <x:c r="I49" s="16" t="str">
        <x:v>EEG; eye tracking; cognitive/behavioral data</x:v>
      </x:c>
      <x:c r="J49" s="16" t="str">
        <x:v>Individual</x:v>
      </x:c>
      <x:c r="K49" s="16" t="str">
        <x:v>Task battery</x:v>
      </x:c>
      <x:c r="L49" s="16" t="str">
        <x:v>Public</x:v>
      </x:c>
      <x:c r="M49" s="16" t="str"/>
      <x:c r="N49" s="16" t="str">
        <x:v>https://www.nature.com/articles/sdata201740</x:v>
      </x:c>
      <x:c r="O49" s="16" t="str">
        <x:v>Modality comparator</x:v>
      </x:c>
      <x:c r="P49" s="16" t="str">
        <x:v>Strong EEG + eye-tracking synchronization reference.</x:v>
      </x:c>
      <x:c r="Q49" s="16" t="str">
        <x:v>Requires structured comparison against ARL sensing, interaction, decision, and synchronization features.</x:v>
      </x:c>
      <x:c r="R49" s="16" t="str">
        <x:v>High</x:v>
      </x:c>
      <x:c r="S49" s="16" t="str">
        <x:v>Source checked</x:v>
      </x:c>
      <x:c r="T49" s="16" t="str">
        <x:v>Not read</x:v>
      </x:c>
      <x:c r="U49" s="16" t="str">
        <x:v>Web search</x:v>
      </x:c>
      <x:c r="V49" s="16" t="str">
        <x:v>Pending</x:v>
      </x:c>
      <x:c r="W49" s="16" t="str"/>
      <x:c r="X49" s="16" t="str">
        <x:v>Added during expansion from 50 to 150 records.</x:v>
      </x:c>
      <x:c r="Y49" s="16" t="str">
        <x:v>2026-08-25</x:v>
      </x:c>
    </x:row>
    <x:row r="50">
      <x:c r="A50" s="16" t="str">
        <x:v>MDMER-0063</x:v>
      </x:c>
      <x:c r="B50" s="16" t="str">
        <x:v>Tier 4</x:v>
      </x:c>
      <x:c r="C50" s="16" t="str">
        <x:v>Core multimodal datasets</x:v>
      </x:c>
      <x:c r="D50" s="16" t="str">
        <x:v>Dataset paper</x:v>
      </x:c>
      <x:c r="E50" s="16" t="str">
        <x:v>Neural and Physiological Data from Participants Listening to Affective Music</x:v>
      </x:c>
      <x:c r="F50" s="16" t="n">
        <x:v>2020</x:v>
      </x:c>
      <x:c r="G50" s="16" t="str">
        <x:v>Daly et al.</x:v>
      </x:c>
      <x:c r="H50" s="16" t="str"/>
      <x:c r="I50" s="16" t="str">
        <x:v>EEG; ECG/physiology; fMRI subsets; affect ratings</x:v>
      </x:c>
      <x:c r="J50" s="16" t="str">
        <x:v>Individual</x:v>
      </x:c>
      <x:c r="K50" s="16" t="str">
        <x:v>Affective music listening</x:v>
      </x:c>
      <x:c r="L50" s="16" t="str">
        <x:v>Public</x:v>
      </x:c>
      <x:c r="M50" s="16" t="str"/>
      <x:c r="N50" s="16" t="str">
        <x:v>https://www.nature.com/articles/s41597-020-0507-6</x:v>
      </x:c>
      <x:c r="O50" s="16" t="str">
        <x:v>Modality comparator</x:v>
      </x:c>
      <x:c r="P50" s="16" t="str">
        <x:v>Large multimodal physiological collection with synchronized affect reporting.</x:v>
      </x:c>
      <x:c r="Q50" s="16" t="str">
        <x:v>Requires structured comparison against ARL sensing, interaction, decision, and synchronization features.</x:v>
      </x:c>
      <x:c r="R50" s="16" t="str">
        <x:v>Medium</x:v>
      </x:c>
      <x:c r="S50" s="16" t="str">
        <x:v>Source checked</x:v>
      </x:c>
      <x:c r="T50" s="16" t="str">
        <x:v>Not read</x:v>
      </x:c>
      <x:c r="U50" s="16" t="str">
        <x:v>Web search</x:v>
      </x:c>
      <x:c r="V50" s="16" t="str">
        <x:v>Pending</x:v>
      </x:c>
      <x:c r="W50" s="16" t="str"/>
      <x:c r="X50" s="16" t="str">
        <x:v>Added during expansion from 50 to 150 records.</x:v>
      </x:c>
      <x:c r="Y50" s="16" t="str">
        <x:v>2026-08-25</x:v>
      </x:c>
    </x:row>
    <x:row r="51">
      <x:c r="A51" s="16" t="str">
        <x:v>MDMER-0064</x:v>
      </x:c>
      <x:c r="B51" s="16" t="str">
        <x:v>Tier 4</x:v>
      </x:c>
      <x:c r="C51" s="16" t="str">
        <x:v>Core multimodal datasets</x:v>
      </x:c>
      <x:c r="D51" s="16" t="str">
        <x:v>Dataset paper</x:v>
      </x:c>
      <x:c r="E51" s="16" t="str">
        <x:v>SWELL Knowledge Work Dataset for Stress and User Modeling Research</x:v>
      </x:c>
      <x:c r="F51" s="16" t="n">
        <x:v>2014</x:v>
      </x:c>
      <x:c r="G51" s="16" t="str">
        <x:v>Koldijk et al.</x:v>
      </x:c>
      <x:c r="H51" s="16" t="str"/>
      <x:c r="I51" s="16" t="str">
        <x:v>ECG; EDA; facial expression; posture; computer interaction</x:v>
      </x:c>
      <x:c r="J51" s="16" t="str">
        <x:v>Individual</x:v>
      </x:c>
      <x:c r="K51" s="16" t="str">
        <x:v>Office knowledge work under stress</x:v>
      </x:c>
      <x:c r="L51" s="16" t="str">
        <x:v>Public</x:v>
      </x:c>
      <x:c r="M51" s="16" t="str"/>
      <x:c r="N51" s="16" t="str">
        <x:v>https://scholar.google.com/scholar?q=The+SWELL+Knowledge+Work+Dataset+for+Stress+and+User+Modeling+Research</x:v>
      </x:c>
      <x:c r="O51" s="16" t="str">
        <x:v>Modality comparator</x:v>
      </x:c>
      <x:c r="P51" s="16" t="str">
        <x:v>Combines physiology and computer behavior in a controlled task.</x:v>
      </x:c>
      <x:c r="Q51" s="16" t="str">
        <x:v>Requires structured comparison against ARL sensing, interaction, decision, and synchronization features.</x:v>
      </x:c>
      <x:c r="R51" s="16" t="str">
        <x:v>Medium</x:v>
      </x:c>
      <x:c r="S51" s="16" t="str">
        <x:v>Candidate — needs primary-source verification</x:v>
      </x:c>
      <x:c r="T51" s="16" t="str">
        <x:v>Not read</x:v>
      </x:c>
      <x:c r="U51" s="16" t="str">
        <x:v>Targeted literature expansion</x:v>
      </x:c>
      <x:c r="V51" s="16" t="str">
        <x:v>Pending</x:v>
      </x:c>
      <x:c r="W51" s="16" t="str"/>
      <x:c r="X51" s="16" t="str">
        <x:v>Added during expansion from 50 to 150 records.</x:v>
      </x:c>
      <x:c r="Y51" s="16" t="str"/>
    </x:row>
    <x:row r="52">
      <x:c r="A52" s="16" t="str">
        <x:v>MDMER-0065</x:v>
      </x:c>
      <x:c r="B52" s="16" t="str">
        <x:v>Tier 4</x:v>
      </x:c>
      <x:c r="C52" s="16" t="str">
        <x:v>Core multimodal datasets</x:v>
      </x:c>
      <x:c r="D52" s="16" t="str">
        <x:v>Dataset paper</x:v>
      </x:c>
      <x:c r="E52" s="16" t="str">
        <x:v>CLAS: A Database for Cognitive Load, Affect and Stress Recognition</x:v>
      </x:c>
      <x:c r="F52" s="16" t="n">
        <x:v>2019</x:v>
      </x:c>
      <x:c r="G52" s="16" t="str">
        <x:v>Markova et al.</x:v>
      </x:c>
      <x:c r="H52" s="16" t="str"/>
      <x:c r="I52" s="16" t="str">
        <x:v>ECG; EDA; PPG; accelerometer; video; behavioral/self-report</x:v>
      </x:c>
      <x:c r="J52" s="16" t="str">
        <x:v>Individual</x:v>
      </x:c>
      <x:c r="K52" s="16" t="str">
        <x:v>Cognitive load and affect tasks</x:v>
      </x:c>
      <x:c r="L52" s="16" t="str">
        <x:v>Public</x:v>
      </x:c>
      <x:c r="M52" s="16" t="str"/>
      <x:c r="N52" s="16" t="str">
        <x:v>https://scholar.google.com/scholar?q=CLAS+A+Database+for+Cognitive+Load+Affect+and+Stress+Recognition</x:v>
      </x:c>
      <x:c r="O52" s="16" t="str">
        <x:v>Modality comparator</x:v>
      </x:c>
      <x:c r="P52" s="16" t="str">
        <x:v>Relevant peripheral physiology and task-state annotation.</x:v>
      </x:c>
      <x:c r="Q52" s="16" t="str">
        <x:v>Requires structured comparison against ARL sensing, interaction, decision, and synchronization features.</x:v>
      </x:c>
      <x:c r="R52" s="16" t="str">
        <x:v>Medium</x:v>
      </x:c>
      <x:c r="S52" s="16" t="str">
        <x:v>Candidate — needs primary-source verification</x:v>
      </x:c>
      <x:c r="T52" s="16" t="str">
        <x:v>Not read</x:v>
      </x:c>
      <x:c r="U52" s="16" t="str">
        <x:v>Targeted literature expansion</x:v>
      </x:c>
      <x:c r="V52" s="16" t="str">
        <x:v>Pending</x:v>
      </x:c>
      <x:c r="W52" s="16" t="str"/>
      <x:c r="X52" s="16" t="str">
        <x:v>Added during expansion from 50 to 150 records.</x:v>
      </x:c>
      <x:c r="Y52" s="16" t="str"/>
    </x:row>
    <x:row r="53">
      <x:c r="A53" s="16" t="str">
        <x:v>MDMER-0066</x:v>
      </x:c>
      <x:c r="B53" s="16" t="str">
        <x:v>Tier 4</x:v>
      </x:c>
      <x:c r="C53" s="16" t="str">
        <x:v>Core multimodal datasets</x:v>
      </x:c>
      <x:c r="D53" s="16" t="str">
        <x:v>Dataset paper</x:v>
      </x:c>
      <x:c r="E53" s="16" t="str">
        <x:v>BioVid Heat Pain Database</x:v>
      </x:c>
      <x:c r="F53" s="16" t="n">
        <x:v>2013</x:v>
      </x:c>
      <x:c r="G53" s="16" t="str">
        <x:v>Walter et al.</x:v>
      </x:c>
      <x:c r="H53" s="16" t="str"/>
      <x:c r="I53" s="16" t="str">
        <x:v>Video; ECG; EDA; EMG</x:v>
      </x:c>
      <x:c r="J53" s="16" t="str">
        <x:v>Individual</x:v>
      </x:c>
      <x:c r="K53" s="16" t="str">
        <x:v>Thermal pain elicitation</x:v>
      </x:c>
      <x:c r="L53" s="16" t="str">
        <x:v>Academic access</x:v>
      </x:c>
      <x:c r="M53" s="16" t="str"/>
      <x:c r="N53" s="16" t="str">
        <x:v>https://scholar.google.com/scholar?q=The+BioVid+Heat+Pain+Database+data+for+the+advancement+and+systematic+validation+of+an+automated+pain+recognition+system</x:v>
      </x:c>
      <x:c r="O53" s="16" t="str">
        <x:v>Modality comparator</x:v>
      </x:c>
      <x:c r="P53" s="16" t="str">
        <x:v>Multimodal physiology + facial behavior; useful sensor integration precedent.</x:v>
      </x:c>
      <x:c r="Q53" s="16" t="str">
        <x:v>Requires structured comparison against ARL sensing, interaction, decision, and synchronization features.</x:v>
      </x:c>
      <x:c r="R53" s="16" t="str">
        <x:v>Medium</x:v>
      </x:c>
      <x:c r="S53" s="16" t="str">
        <x:v>Candidate — needs primary-source verification</x:v>
      </x:c>
      <x:c r="T53" s="16" t="str">
        <x:v>Not read</x:v>
      </x:c>
      <x:c r="U53" s="16" t="str">
        <x:v>Targeted literature expansion</x:v>
      </x:c>
      <x:c r="V53" s="16" t="str">
        <x:v>Pending</x:v>
      </x:c>
      <x:c r="W53" s="16" t="str"/>
      <x:c r="X53" s="16" t="str">
        <x:v>Added during expansion from 50 to 150 records.</x:v>
      </x:c>
      <x:c r="Y53" s="16" t="str"/>
    </x:row>
    <x:row r="54">
      <x:c r="A54" s="16" t="str">
        <x:v>MDMER-0067</x:v>
      </x:c>
      <x:c r="B54" s="16" t="str">
        <x:v>Tier 4</x:v>
      </x:c>
      <x:c r="C54" s="16" t="str">
        <x:v>Core multimodal datasets</x:v>
      </x:c>
      <x:c r="D54" s="16" t="str">
        <x:v>Dataset paper</x:v>
      </x:c>
      <x:c r="E54" s="16" t="str">
        <x:v>BP4D-Spontaneous: A High-Resolution Spontaneous 3D Dynamic Facial Expression Database</x:v>
      </x:c>
      <x:c r="F54" s="16" t="n">
        <x:v>2014</x:v>
      </x:c>
      <x:c r="G54" s="16" t="str">
        <x:v>Zhang et al.</x:v>
      </x:c>
      <x:c r="H54" s="16" t="str"/>
      <x:c r="I54" s="16" t="str">
        <x:v>3D/2D video; physiological signals; FACS labels</x:v>
      </x:c>
      <x:c r="J54" s="16" t="str">
        <x:v>Individual</x:v>
      </x:c>
      <x:c r="K54" s="16" t="str">
        <x:v>Emotion elicitation</x:v>
      </x:c>
      <x:c r="L54" s="16" t="str">
        <x:v>Academic access</x:v>
      </x:c>
      <x:c r="M54" s="16" t="str"/>
      <x:c r="N54" s="16" t="str">
        <x:v>https://scholar.google.com/scholar?q=BP4D-Spontaneous+a+high-resolution+spontaneous+3D+dynamic+facial+expression+database</x:v>
      </x:c>
      <x:c r="O54" s="16" t="str">
        <x:v>Behavior comparator</x:v>
      </x:c>
      <x:c r="P54" s="16" t="str">
        <x:v>Useful synchronized video/physiological annotation precedent.</x:v>
      </x:c>
      <x:c r="Q54" s="16" t="str">
        <x:v>Requires structured comparison against ARL sensing, interaction, decision, and synchronization features.</x:v>
      </x:c>
      <x:c r="R54" s="16" t="str">
        <x:v>Low</x:v>
      </x:c>
      <x:c r="S54" s="16" t="str">
        <x:v>Candidate — needs primary-source verification</x:v>
      </x:c>
      <x:c r="T54" s="16" t="str">
        <x:v>Not read</x:v>
      </x:c>
      <x:c r="U54" s="16" t="str">
        <x:v>Targeted literature expansion</x:v>
      </x:c>
      <x:c r="V54" s="16" t="str">
        <x:v>Pending</x:v>
      </x:c>
      <x:c r="W54" s="16" t="str"/>
      <x:c r="X54" s="16" t="str">
        <x:v>Added during expansion from 50 to 150 records.</x:v>
      </x:c>
      <x:c r="Y54" s="16" t="str"/>
    </x:row>
    <x:row r="55">
      <x:c r="A55" s="16" t="str">
        <x:v>MDMER-0068</x:v>
      </x:c>
      <x:c r="B55" s="16" t="str">
        <x:v>Tier 4</x:v>
      </x:c>
      <x:c r="C55" s="16" t="str">
        <x:v>Core multimodal datasets</x:v>
      </x:c>
      <x:c r="D55" s="16" t="str">
        <x:v>Dataset paper</x:v>
      </x:c>
      <x:c r="E55" s="16" t="str">
        <x:v>MMASH: Multilevel Monitoring of Activity and Sleep in Healthy People</x:v>
      </x:c>
      <x:c r="F55" s="16" t="n">
        <x:v>2020</x:v>
      </x:c>
      <x:c r="G55" s="16" t="str">
        <x:v>Rossi et al.</x:v>
      </x:c>
      <x:c r="H55" s="16" t="str"/>
      <x:c r="I55" s="16" t="str">
        <x:v>ECG; accelerometer; sleep/activity; questionnaires</x:v>
      </x:c>
      <x:c r="J55" s="16" t="str">
        <x:v>Individual</x:v>
      </x:c>
      <x:c r="K55" s="16" t="str">
        <x:v>24-hour naturalistic monitoring</x:v>
      </x:c>
      <x:c r="L55" s="16" t="str">
        <x:v>Public</x:v>
      </x:c>
      <x:c r="M55" s="16" t="str"/>
      <x:c r="N55" s="16" t="str">
        <x:v>https://scholar.google.com/scholar?q=MMASH+Multilevel+Monitoring+of+Activity+and+Sleep+in+Healthy+people+dataset</x:v>
      </x:c>
      <x:c r="O55" s="16" t="str">
        <x:v>Modality comparator</x:v>
      </x:c>
      <x:c r="P55" s="16" t="str">
        <x:v>Reference for wearable ECG and multimodal longitudinal data organization.</x:v>
      </x:c>
      <x:c r="Q55" s="16" t="str">
        <x:v>Requires structured comparison against ARL sensing, interaction, decision, and synchronization features.</x:v>
      </x:c>
      <x:c r="R55" s="16" t="str">
        <x:v>Low</x:v>
      </x:c>
      <x:c r="S55" s="16" t="str">
        <x:v>Candidate — needs primary-source verification</x:v>
      </x:c>
      <x:c r="T55" s="16" t="str">
        <x:v>Not read</x:v>
      </x:c>
      <x:c r="U55" s="16" t="str">
        <x:v>Targeted literature expansion</x:v>
      </x:c>
      <x:c r="V55" s="16" t="str">
        <x:v>Pending</x:v>
      </x:c>
      <x:c r="W55" s="16" t="str"/>
      <x:c r="X55" s="16" t="str">
        <x:v>Added during expansion from 50 to 150 records.</x:v>
      </x:c>
      <x:c r="Y55" s="16" t="str"/>
    </x:row>
    <x:row r="56">
      <x:c r="A56" s="16" t="str">
        <x:v>MDMER-0069</x:v>
      </x:c>
      <x:c r="B56" s="16" t="str">
        <x:v>Tier 4</x:v>
      </x:c>
      <x:c r="C56" s="16" t="str">
        <x:v>Core multimodal datasets</x:v>
      </x:c>
      <x:c r="D56" s="16" t="str">
        <x:v>Dataset paper</x:v>
      </x:c>
      <x:c r="E56" s="16" t="str">
        <x:v>UBFC-Phys: A Multimodal Database for Psychophysiological Studies of Social Stress</x:v>
      </x:c>
      <x:c r="F56" s="16" t="n">
        <x:v>2021</x:v>
      </x:c>
      <x:c r="G56" s="16" t="str">
        <x:v>Meziati Sabour et al.</x:v>
      </x:c>
      <x:c r="H56" s="16" t="str"/>
      <x:c r="I56" s="16" t="str">
        <x:v>Video; PPG; EDA</x:v>
      </x:c>
      <x:c r="J56" s="16" t="str">
        <x:v>Individual</x:v>
      </x:c>
      <x:c r="K56" s="16" t="str">
        <x:v>Social stress / Trier Social Stress Test</x:v>
      </x:c>
      <x:c r="L56" s="16" t="str">
        <x:v>Public</x:v>
      </x:c>
      <x:c r="M56" s="16" t="str"/>
      <x:c r="N56" s="16" t="str">
        <x:v>https://scholar.google.com/scholar?q=UBFC-Phys+A+Multimodal+Database+for+Psychophysiological+Studies+of+Social+Stress</x:v>
      </x:c>
      <x:c r="O56" s="16" t="str">
        <x:v>Modality comparator</x:v>
      </x:c>
      <x:c r="P56" s="16" t="str">
        <x:v>Face video plus peripheral physiology under social stress.</x:v>
      </x:c>
      <x:c r="Q56" s="16" t="str">
        <x:v>Requires structured comparison against ARL sensing, interaction, decision, and synchronization features.</x:v>
      </x:c>
      <x:c r="R56" s="16" t="str">
        <x:v>Medium</x:v>
      </x:c>
      <x:c r="S56" s="16" t="str">
        <x:v>Candidate — needs primary-source verification</x:v>
      </x:c>
      <x:c r="T56" s="16" t="str">
        <x:v>Not read</x:v>
      </x:c>
      <x:c r="U56" s="16" t="str">
        <x:v>Targeted literature expansion</x:v>
      </x:c>
      <x:c r="V56" s="16" t="str">
        <x:v>Pending</x:v>
      </x:c>
      <x:c r="W56" s="16" t="str"/>
      <x:c r="X56" s="16" t="str">
        <x:v>Added during expansion from 50 to 150 records.</x:v>
      </x:c>
      <x:c r="Y56" s="16" t="str"/>
    </x:row>
    <x:row r="57">
      <x:c r="A57" s="16" t="str">
        <x:v>MDMER-0070</x:v>
      </x:c>
      <x:c r="B57" s="16" t="str">
        <x:v>Tier 4</x:v>
      </x:c>
      <x:c r="C57" s="16" t="str">
        <x:v>Core multimodal datasets</x:v>
      </x:c>
      <x:c r="D57" s="16" t="str">
        <x:v>Dataset paper</x:v>
      </x:c>
      <x:c r="E57" s="16" t="str">
        <x:v>DAPPER: A Multimodal Dataset for Person Perception and Physiological Response</x:v>
      </x:c>
      <x:c r="F57" s="16" t="n">
        <x:v>2020</x:v>
      </x:c>
      <x:c r="G57" s="16" t="str">
        <x:v>Multiple authors</x:v>
      </x:c>
      <x:c r="H57" s="16" t="str"/>
      <x:c r="I57" s="16" t="str">
        <x:v>Audio-visual; physiological signals; annotations</x:v>
      </x:c>
      <x:c r="J57" s="16" t="str">
        <x:v>Individual</x:v>
      </x:c>
      <x:c r="K57" s="16" t="str">
        <x:v>Person perception</x:v>
      </x:c>
      <x:c r="L57" s="16" t="str">
        <x:v>Public/academic</x:v>
      </x:c>
      <x:c r="M57" s="16" t="str"/>
      <x:c r="N57" s="16" t="str">
        <x:v>https://scholar.google.com/scholar?q=DAPPER+multimodal+dataset+physiological</x:v>
      </x:c>
      <x:c r="O57" s="16" t="str">
        <x:v>Background evidence</x:v>
      </x:c>
      <x:c r="P57" s="16" t="str">
        <x:v>Additional multimodal affective/behavioral comparator.</x:v>
      </x:c>
      <x:c r="Q57" s="16" t="str">
        <x:v>Requires structured comparison against ARL sensing, interaction, decision, and synchronization features.</x:v>
      </x:c>
      <x:c r="R57" s="16" t="str">
        <x:v>Low</x:v>
      </x:c>
      <x:c r="S57" s="16" t="str">
        <x:v>Candidate — needs primary-source verification</x:v>
      </x:c>
      <x:c r="T57" s="16" t="str">
        <x:v>Not read</x:v>
      </x:c>
      <x:c r="U57" s="16" t="str">
        <x:v>Targeted literature expansion</x:v>
      </x:c>
      <x:c r="V57" s="16" t="str">
        <x:v>Pending</x:v>
      </x:c>
      <x:c r="W57" s="16" t="str"/>
      <x:c r="X57" s="16" t="str">
        <x:v>Added during expansion from 50 to 150 records.</x:v>
      </x:c>
      <x:c r="Y57" s="16" t="str"/>
    </x:row>
    <x:row r="58">
      <x:c r="A58" s="16" t="str">
        <x:v>MDMER-0071</x:v>
      </x:c>
      <x:c r="B58" s="16" t="str">
        <x:v>Tier 4</x:v>
      </x:c>
      <x:c r="C58" s="16" t="str">
        <x:v>Core multimodal datasets</x:v>
      </x:c>
      <x:c r="D58" s="16" t="str">
        <x:v>Dataset paper</x:v>
      </x:c>
      <x:c r="E58" s="16" t="str">
        <x:v>PMEmo: A Dataset for Music Emotion Recognition with Physiological Signals</x:v>
      </x:c>
      <x:c r="F58" s="16" t="n">
        <x:v>2018</x:v>
      </x:c>
      <x:c r="G58" s="16" t="str">
        <x:v>Zhang et al.</x:v>
      </x:c>
      <x:c r="H58" s="16" t="str"/>
      <x:c r="I58" s="16" t="str">
        <x:v>EDA; music/audio; emotion labels</x:v>
      </x:c>
      <x:c r="J58" s="16" t="str">
        <x:v>Individual</x:v>
      </x:c>
      <x:c r="K58" s="16" t="str">
        <x:v>Music emotion</x:v>
      </x:c>
      <x:c r="L58" s="16" t="str">
        <x:v>Public</x:v>
      </x:c>
      <x:c r="M58" s="16" t="str"/>
      <x:c r="N58" s="16" t="str">
        <x:v>https://scholar.google.com/scholar?q=PMEmo+A+Dataset+for+Music+Emotion+Recognition+with+Physiological+Signals</x:v>
      </x:c>
      <x:c r="O58" s="16" t="str">
        <x:v>Background evidence</x:v>
      </x:c>
      <x:c r="P58" s="16" t="str">
        <x:v>Physiological annotation and public dataset design reference.</x:v>
      </x:c>
      <x:c r="Q58" s="16" t="str">
        <x:v>Requires structured comparison against ARL sensing, interaction, decision, and synchronization features.</x:v>
      </x:c>
      <x:c r="R58" s="16" t="str">
        <x:v>Low</x:v>
      </x:c>
      <x:c r="S58" s="16" t="str">
        <x:v>Candidate — needs primary-source verification</x:v>
      </x:c>
      <x:c r="T58" s="16" t="str">
        <x:v>Not read</x:v>
      </x:c>
      <x:c r="U58" s="16" t="str">
        <x:v>Targeted literature expansion</x:v>
      </x:c>
      <x:c r="V58" s="16" t="str">
        <x:v>Pending</x:v>
      </x:c>
      <x:c r="W58" s="16" t="str"/>
      <x:c r="X58" s="16" t="str">
        <x:v>Added during expansion from 50 to 150 records.</x:v>
      </x:c>
      <x:c r="Y58" s="16" t="str"/>
    </x:row>
    <x:row r="59">
      <x:c r="A59" s="16" t="str">
        <x:v>MDMER-0072</x:v>
      </x:c>
      <x:c r="B59" s="16" t="str">
        <x:v>Tier 4</x:v>
      </x:c>
      <x:c r="C59" s="16" t="str">
        <x:v>Core multimodal datasets</x:v>
      </x:c>
      <x:c r="D59" s="16" t="str">
        <x:v>Dataset paper</x:v>
      </x:c>
      <x:c r="E59" s="16" t="str">
        <x:v>DECAF: MEG-Based Multimodal Database for Decoding Affective Physiological Responses</x:v>
      </x:c>
      <x:c r="F59" s="16" t="n">
        <x:v>2015</x:v>
      </x:c>
      <x:c r="G59" s="16" t="str">
        <x:v>Abadi et al.</x:v>
      </x:c>
      <x:c r="H59" s="16" t="str"/>
      <x:c r="I59" s="16" t="str">
        <x:v>MEG; ECG; EOG; EMG; peripheral physiology; video stimuli</x:v>
      </x:c>
      <x:c r="J59" s="16" t="str">
        <x:v>Individual</x:v>
      </x:c>
      <x:c r="K59" s="16" t="str">
        <x:v>Affective video/music</x:v>
      </x:c>
      <x:c r="L59" s="16" t="str">
        <x:v>Academic access</x:v>
      </x:c>
      <x:c r="M59" s="16" t="str"/>
      <x:c r="N59" s="16" t="str">
        <x:v>https://scholar.google.com/scholar?q=DECAF+MEG-based+multimodal+database+for+decoding+affective+physiological+responses</x:v>
      </x:c>
      <x:c r="O59" s="16" t="str">
        <x:v>Modality comparator</x:v>
      </x:c>
      <x:c r="P59" s="16" t="str">
        <x:v>Rich central + peripheral physiological multimodality.</x:v>
      </x:c>
      <x:c r="Q59" s="16" t="str">
        <x:v>Requires structured comparison against ARL sensing, interaction, decision, and synchronization features.</x:v>
      </x:c>
      <x:c r="R59" s="16" t="str">
        <x:v>Medium</x:v>
      </x:c>
      <x:c r="S59" s="16" t="str">
        <x:v>Candidate — needs primary-source verification</x:v>
      </x:c>
      <x:c r="T59" s="16" t="str">
        <x:v>Not read</x:v>
      </x:c>
      <x:c r="U59" s="16" t="str">
        <x:v>Targeted literature expansion</x:v>
      </x:c>
      <x:c r="V59" s="16" t="str">
        <x:v>Pending</x:v>
      </x:c>
      <x:c r="W59" s="16" t="str"/>
      <x:c r="X59" s="16" t="str">
        <x:v>Added during expansion from 50 to 150 records.</x:v>
      </x:c>
      <x:c r="Y59" s="16" t="str"/>
    </x:row>
    <x:row r="60">
      <x:c r="A60" s="16" t="str">
        <x:v>MDMER-0073</x:v>
      </x:c>
      <x:c r="B60" s="16" t="str">
        <x:v>Tier 4</x:v>
      </x:c>
      <x:c r="C60" s="16" t="str">
        <x:v>Core multimodal datasets</x:v>
      </x:c>
      <x:c r="D60" s="16" t="str">
        <x:v>Dataset paper</x:v>
      </x:c>
      <x:c r="E60" s="16" t="str">
        <x:v>AMIGOS Companion Multimodal Affective Computing Benchmark Study</x:v>
      </x:c>
      <x:c r="F60" s="16" t="n">
        <x:v>2018</x:v>
      </x:c>
      <x:c r="G60" s="16" t="str">
        <x:v>Siddharth et al.</x:v>
      </x:c>
      <x:c r="H60" s="16" t="str"/>
      <x:c r="I60" s="16" t="str">
        <x:v>EEG; ECG; GSR; video</x:v>
      </x:c>
      <x:c r="J60" s="16" t="str">
        <x:v>Individual + groups</x:v>
      </x:c>
      <x:c r="K60" s="16" t="str">
        <x:v>Emotion classification</x:v>
      </x:c>
      <x:c r="L60" s="16" t="str">
        <x:v>Public via AMIGOS</x:v>
      </x:c>
      <x:c r="M60" s="16" t="str"/>
      <x:c r="N60" s="16" t="str">
        <x:v>https://arxiv.org/abs/1804.09452</x:v>
      </x:c>
      <x:c r="O60" s="16" t="str">
        <x:v>Background evidence</x:v>
      </x:c>
      <x:c r="P60" s="16" t="str">
        <x:v>Shows multimodal fusion behavior using a key comparator dataset.</x:v>
      </x:c>
      <x:c r="Q60" s="16" t="str">
        <x:v>Requires structured comparison against ARL sensing, interaction, decision, and synchronization features.</x:v>
      </x:c>
      <x:c r="R60" s="16" t="str">
        <x:v>Medium</x:v>
      </x:c>
      <x:c r="S60" s="16" t="str">
        <x:v>Candidate — needs primary-source verification</x:v>
      </x:c>
      <x:c r="T60" s="16" t="str">
        <x:v>Not read</x:v>
      </x:c>
      <x:c r="U60" s="16" t="str">
        <x:v>Targeted literature expansion</x:v>
      </x:c>
      <x:c r="V60" s="16" t="str">
        <x:v>Pending</x:v>
      </x:c>
      <x:c r="W60" s="16" t="str"/>
      <x:c r="X60" s="16" t="str">
        <x:v>Added during expansion from 50 to 150 records.</x:v>
      </x:c>
      <x:c r="Y60" s="16" t="str"/>
    </x:row>
    <x:row r="61">
      <x:c r="A61" s="16" t="str">
        <x:v>MDMER-0074</x:v>
      </x:c>
      <x:c r="B61" s="16" t="str">
        <x:v>Tier 4</x:v>
      </x:c>
      <x:c r="C61" s="16" t="str">
        <x:v>Core multimodal datasets</x:v>
      </x:c>
      <x:c r="D61" s="16" t="str">
        <x:v>Dataset paper</x:v>
      </x:c>
      <x:c r="E61" s="16" t="str">
        <x:v>AffectiveROAD: A Multimodal Dataset for Affect Recognition in Driving</x:v>
      </x:c>
      <x:c r="F61" s="16" t="n">
        <x:v>2019</x:v>
      </x:c>
      <x:c r="G61" s="16" t="str">
        <x:v>Haouij et al.</x:v>
      </x:c>
      <x:c r="H61" s="16" t="str"/>
      <x:c r="I61" s="16" t="str">
        <x:v>EDA; ECG/HR; respiration; video/vehicle context</x:v>
      </x:c>
      <x:c r="J61" s="16" t="str">
        <x:v>Individual</x:v>
      </x:c>
      <x:c r="K61" s="16" t="str">
        <x:v>Real-world driving</x:v>
      </x:c>
      <x:c r="L61" s="16" t="str">
        <x:v>Academic/public</x:v>
      </x:c>
      <x:c r="M61" s="16" t="str"/>
      <x:c r="N61" s="16" t="str">
        <x:v>https://scholar.google.com/scholar?q=AffectiveROAD+dataset+multimodal+affect+recognition+driving</x:v>
      </x:c>
      <x:c r="O61" s="16" t="str">
        <x:v>Modality comparator</x:v>
      </x:c>
      <x:c r="P61" s="16" t="str">
        <x:v>Naturalistic multimodal physiology and event context.</x:v>
      </x:c>
      <x:c r="Q61" s="16" t="str">
        <x:v>Requires structured comparison against ARL sensing, interaction, decision, and synchronization features.</x:v>
      </x:c>
      <x:c r="R61" s="16" t="str">
        <x:v>Low</x:v>
      </x:c>
      <x:c r="S61" s="16" t="str">
        <x:v>Candidate — needs primary-source verification</x:v>
      </x:c>
      <x:c r="T61" s="16" t="str">
        <x:v>Not read</x:v>
      </x:c>
      <x:c r="U61" s="16" t="str">
        <x:v>Targeted literature expansion</x:v>
      </x:c>
      <x:c r="V61" s="16" t="str">
        <x:v>Pending</x:v>
      </x:c>
      <x:c r="W61" s="16" t="str"/>
      <x:c r="X61" s="16" t="str">
        <x:v>Added during expansion from 50 to 150 records.</x:v>
      </x:c>
      <x:c r="Y61" s="16" t="str"/>
    </x:row>
    <x:row r="62">
      <x:c r="A62" s="16" t="str">
        <x:v>MDMER-0075</x:v>
      </x:c>
      <x:c r="B62" s="16" t="str">
        <x:v>Tier 4</x:v>
      </x:c>
      <x:c r="C62" s="16" t="str">
        <x:v>Core multimodal datasets</x:v>
      </x:c>
      <x:c r="D62" s="16" t="str">
        <x:v>Dataset paper</x:v>
      </x:c>
      <x:c r="E62" s="16" t="str">
        <x:v>Driver Stress Dataset / Stress Recognition in Automobile Drivers</x:v>
      </x:c>
      <x:c r="F62" s="16" t="n">
        <x:v>2005</x:v>
      </x:c>
      <x:c r="G62" s="16" t="str">
        <x:v>Healey &amp; Picard</x:v>
      </x:c>
      <x:c r="H62" s="16" t="str"/>
      <x:c r="I62" s="16" t="str">
        <x:v>ECG; EMG; EDA; respiration</x:v>
      </x:c>
      <x:c r="J62" s="16" t="str">
        <x:v>Individual</x:v>
      </x:c>
      <x:c r="K62" s="16" t="str">
        <x:v>Real-world driving stress</x:v>
      </x:c>
      <x:c r="L62" s="16" t="str">
        <x:v>Public/academic</x:v>
      </x:c>
      <x:c r="M62" s="16" t="str"/>
      <x:c r="N62" s="16" t="str">
        <x:v>https://scholar.google.com/scholar?q=Detecting+stress+during+real-world+driving+tasks+using+physiological+sensors</x:v>
      </x:c>
      <x:c r="O62" s="16" t="str">
        <x:v>Modality comparator</x:v>
      </x:c>
      <x:c r="P62" s="16" t="str">
        <x:v>Classic multimodal physiological sensing study.</x:v>
      </x:c>
      <x:c r="Q62" s="16" t="str">
        <x:v>Requires structured comparison against ARL sensing, interaction, decision, and synchronization features.</x:v>
      </x:c>
      <x:c r="R62" s="16" t="str">
        <x:v>Low</x:v>
      </x:c>
      <x:c r="S62" s="16" t="str">
        <x:v>Candidate — needs primary-source verification</x:v>
      </x:c>
      <x:c r="T62" s="16" t="str">
        <x:v>Not read</x:v>
      </x:c>
      <x:c r="U62" s="16" t="str">
        <x:v>Targeted literature expansion</x:v>
      </x:c>
      <x:c r="V62" s="16" t="str">
        <x:v>Pending</x:v>
      </x:c>
      <x:c r="W62" s="16" t="str"/>
      <x:c r="X62" s="16" t="str">
        <x:v>Added during expansion from 50 to 150 records.</x:v>
      </x:c>
      <x:c r="Y62" s="16" t="str"/>
    </x:row>
    <x:row r="63">
      <x:c r="A63" s="16" t="str">
        <x:v>MDMER-0076</x:v>
      </x:c>
      <x:c r="B63" s="16" t="str">
        <x:v>Tier 4</x:v>
      </x:c>
      <x:c r="C63" s="16" t="str">
        <x:v>Core multimodal datasets</x:v>
      </x:c>
      <x:c r="D63" s="16" t="str">
        <x:v>Dataset paper</x:v>
      </x:c>
      <x:c r="E63" s="16" t="str">
        <x:v>MMSD: Multimodal Mental Stress Detection Dataset</x:v>
      </x:c>
      <x:c r="F63" s="16" t="n">
        <x:v>2022</x:v>
      </x:c>
      <x:c r="G63" s="16" t="str">
        <x:v>Multiple authors</x:v>
      </x:c>
      <x:c r="H63" s="16" t="str"/>
      <x:c r="I63" s="16" t="str">
        <x:v>EEG; ECG; EDA; respiration/behavioral measures</x:v>
      </x:c>
      <x:c r="J63" s="16" t="str">
        <x:v>Individual</x:v>
      </x:c>
      <x:c r="K63" s="16" t="str">
        <x:v>Mental stress tasks</x:v>
      </x:c>
      <x:c r="L63" s="16" t="str">
        <x:v>Public/academic</x:v>
      </x:c>
      <x:c r="M63" s="16" t="str"/>
      <x:c r="N63" s="16" t="str">
        <x:v>https://scholar.google.com/scholar?q=multimodal+mental+stress+detection+dataset+EEG+ECG+EDA</x:v>
      </x:c>
      <x:c r="O63" s="16" t="str">
        <x:v>Modality comparator</x:v>
      </x:c>
      <x:c r="P63" s="16" t="str">
        <x:v>Synchronized stress physiology useful as engineering comparator.</x:v>
      </x:c>
      <x:c r="Q63" s="16" t="str">
        <x:v>Requires structured comparison against ARL sensing, interaction, decision, and synchronization features.</x:v>
      </x:c>
      <x:c r="R63" s="16" t="str">
        <x:v>Low</x:v>
      </x:c>
      <x:c r="S63" s="16" t="str">
        <x:v>Candidate — needs primary-source verification</x:v>
      </x:c>
      <x:c r="T63" s="16" t="str">
        <x:v>Not read</x:v>
      </x:c>
      <x:c r="U63" s="16" t="str">
        <x:v>Targeted literature expansion</x:v>
      </x:c>
      <x:c r="V63" s="16" t="str">
        <x:v>Pending</x:v>
      </x:c>
      <x:c r="W63" s="16" t="str"/>
      <x:c r="X63" s="16" t="str">
        <x:v>Added during expansion from 50 to 150 records.</x:v>
      </x:c>
      <x:c r="Y63" s="16" t="str"/>
    </x:row>
    <x:row r="64">
      <x:c r="A64" s="16" t="str">
        <x:v>MDMER-0077</x:v>
      </x:c>
      <x:c r="B64" s="16" t="str">
        <x:v>Tier 4</x:v>
      </x:c>
      <x:c r="C64" s="16" t="str">
        <x:v>Core multimodal datasets</x:v>
      </x:c>
      <x:c r="D64" s="16" t="str">
        <x:v>Dataset paper</x:v>
      </x:c>
      <x:c r="E64" s="16" t="str">
        <x:v>A Multimodal Dataset for Human Stress Detection in Human-Computer Interaction</x:v>
      </x:c>
      <x:c r="F64" s="16" t="n">
        <x:v>2023</x:v>
      </x:c>
      <x:c r="G64" s="16" t="str">
        <x:v>Multiple authors</x:v>
      </x:c>
      <x:c r="H64" s="16" t="str"/>
      <x:c r="I64" s="16" t="str">
        <x:v>EEG; ECG/PPG; EDA; video; interaction logs</x:v>
      </x:c>
      <x:c r="J64" s="16" t="str">
        <x:v>Individual</x:v>
      </x:c>
      <x:c r="K64" s="16" t="str">
        <x:v>Computer tasks under stress</x:v>
      </x:c>
      <x:c r="L64" s="16" t="str">
        <x:v>Public/academic</x:v>
      </x:c>
      <x:c r="M64" s="16" t="str"/>
      <x:c r="N64" s="16" t="str">
        <x:v>https://scholar.google.com/scholar?q=multimodal+dataset+human+stress+detection+EEG+ECG+EDA+video+human+computer+interaction</x:v>
      </x:c>
      <x:c r="O64" s="16" t="str">
        <x:v>Modality comparator</x:v>
      </x:c>
      <x:c r="P64" s="16" t="str">
        <x:v>Potential multimodal acquisition comparator; verify exact dataset details.</x:v>
      </x:c>
      <x:c r="Q64" s="16" t="str">
        <x:v>Requires structured comparison against ARL sensing, interaction, decision, and synchronization features.</x:v>
      </x:c>
      <x:c r="R64" s="16" t="str">
        <x:v>Low</x:v>
      </x:c>
      <x:c r="S64" s="16" t="str">
        <x:v>Candidate — needs primary-source verification</x:v>
      </x:c>
      <x:c r="T64" s="16" t="str">
        <x:v>Not read</x:v>
      </x:c>
      <x:c r="U64" s="16" t="str">
        <x:v>Targeted literature expansion</x:v>
      </x:c>
      <x:c r="V64" s="16" t="str">
        <x:v>Pending</x:v>
      </x:c>
      <x:c r="W64" s="16" t="str"/>
      <x:c r="X64" s="16" t="str">
        <x:v>Added during expansion from 50 to 150 records.</x:v>
      </x:c>
      <x:c r="Y64" s="16" t="str"/>
    </x:row>
    <x:row r="65">
      <x:c r="A65" s="16" t="str">
        <x:v>MDMER-0078</x:v>
      </x:c>
      <x:c r="B65" s="16" t="str">
        <x:v>Tier 4</x:v>
      </x:c>
      <x:c r="C65" s="16" t="str">
        <x:v>Core multimodal datasets</x:v>
      </x:c>
      <x:c r="D65" s="16" t="str">
        <x:v>Dataset paper</x:v>
      </x:c>
      <x:c r="E65" s="16" t="str">
        <x:v>A Multimodal Dataset for Cognitive Workload Assessment Using EEG and Peripheral Physiology</x:v>
      </x:c>
      <x:c r="F65" s="16" t="n">
        <x:v>2022</x:v>
      </x:c>
      <x:c r="G65" s="16" t="str">
        <x:v>Multiple authors</x:v>
      </x:c>
      <x:c r="H65" s="16" t="str"/>
      <x:c r="I65" s="16" t="str">
        <x:v>EEG; ECG/PPG; EDA; respiration</x:v>
      </x:c>
      <x:c r="J65" s="16" t="str">
        <x:v>Individual</x:v>
      </x:c>
      <x:c r="K65" s="16" t="str">
        <x:v>Cognitive workload</x:v>
      </x:c>
      <x:c r="L65" s="16" t="str">
        <x:v>Public/academic</x:v>
      </x:c>
      <x:c r="M65" s="16" t="str"/>
      <x:c r="N65" s="16" t="str">
        <x:v>https://scholar.google.com/scholar?q=multimodal+dataset+cognitive+workload+EEG+peripheral+physiology</x:v>
      </x:c>
      <x:c r="O65" s="16" t="str">
        <x:v>Modality comparator</x:v>
      </x:c>
      <x:c r="P65" s="16" t="str">
        <x:v>Relevant to multimodal physiological feature integration.</x:v>
      </x:c>
      <x:c r="Q65" s="16" t="str">
        <x:v>Requires structured comparison against ARL sensing, interaction, decision, and synchronization features.</x:v>
      </x:c>
      <x:c r="R65" s="16" t="str">
        <x:v>Low</x:v>
      </x:c>
      <x:c r="S65" s="16" t="str">
        <x:v>Candidate — needs primary-source verification</x:v>
      </x:c>
      <x:c r="T65" s="16" t="str">
        <x:v>Not read</x:v>
      </x:c>
      <x:c r="U65" s="16" t="str">
        <x:v>Targeted literature expansion</x:v>
      </x:c>
      <x:c r="V65" s="16" t="str">
        <x:v>Pending</x:v>
      </x:c>
      <x:c r="W65" s="16" t="str"/>
      <x:c r="X65" s="16" t="str">
        <x:v>Added during expansion from 50 to 150 records.</x:v>
      </x:c>
      <x:c r="Y65" s="16" t="str"/>
    </x:row>
    <x:row r="66">
      <x:c r="A66" s="16" t="str">
        <x:v>MDMER-0079</x:v>
      </x:c>
      <x:c r="B66" s="16" t="str">
        <x:v>Tier 2</x:v>
      </x:c>
      <x:c r="C66" s="16" t="str">
        <x:v>Core multimodal datasets</x:v>
      </x:c>
      <x:c r="D66" s="16" t="str">
        <x:v>Dataset paper</x:v>
      </x:c>
      <x:c r="E66" s="16" t="str">
        <x:v>A Multimodal Dataset of Naturalistic Human-Human Interaction with Wearable Sensors</x:v>
      </x:c>
      <x:c r="F66" s="16" t="n">
        <x:v>2021</x:v>
      </x:c>
      <x:c r="G66" s="16" t="str">
        <x:v>Multiple authors</x:v>
      </x:c>
      <x:c r="H66" s="16" t="str"/>
      <x:c r="I66" s="16" t="str">
        <x:v>Wearable physiology; audio; video; motion</x:v>
      </x:c>
      <x:c r="J66" s="16" t="str">
        <x:v>Dyads/groups</x:v>
      </x:c>
      <x:c r="K66" s="16" t="str">
        <x:v>Naturalistic interaction</x:v>
      </x:c>
      <x:c r="L66" s="16" t="str">
        <x:v>Public/academic</x:v>
      </x:c>
      <x:c r="M66" s="16" t="str"/>
      <x:c r="N66" s="16" t="str">
        <x:v>https://scholar.google.com/scholar?q=multimodal+dataset+naturalistic+human+human+interaction+wearable+physiology+audio+video</x:v>
      </x:c>
      <x:c r="O66" s="16" t="str">
        <x:v>Social/group comparator</x:v>
      </x:c>
      <x:c r="P66" s="16" t="str">
        <x:v>Candidate social interaction comparator requiring verification.</x:v>
      </x:c>
      <x:c r="Q66" s="16" t="str">
        <x:v>Requires structured comparison against ARL sensing, interaction, decision, and synchronization features.</x:v>
      </x:c>
      <x:c r="R66" s="16" t="str">
        <x:v>Low</x:v>
      </x:c>
      <x:c r="S66" s="16" t="str">
        <x:v>Candidate — needs primary-source verification</x:v>
      </x:c>
      <x:c r="T66" s="16" t="str">
        <x:v>Not read</x:v>
      </x:c>
      <x:c r="U66" s="16" t="str">
        <x:v>Targeted literature expansion</x:v>
      </x:c>
      <x:c r="V66" s="16" t="str">
        <x:v>Pending</x:v>
      </x:c>
      <x:c r="W66" s="16" t="str"/>
      <x:c r="X66" s="16" t="str">
        <x:v>Added during expansion from 50 to 150 records.</x:v>
      </x:c>
      <x:c r="Y66" s="16" t="str"/>
    </x:row>
    <x:row r="67">
      <x:c r="A67" s="16" t="str">
        <x:v>MDMER-0080</x:v>
      </x:c>
      <x:c r="B67" s="16" t="str">
        <x:v>Tier 1</x:v>
      </x:c>
      <x:c r="C67" s="16" t="str">
        <x:v>Core multimodal datasets</x:v>
      </x:c>
      <x:c r="D67" s="16" t="str">
        <x:v>Dataset paper</x:v>
      </x:c>
      <x:c r="E67" s="16" t="str">
        <x:v>Puzzle-STAMPS: Multimodal Team Interaction Dataset</x:v>
      </x:c>
      <x:c r="F67" s="16" t="n">
        <x:v>2026</x:v>
      </x:c>
      <x:c r="G67" s="16" t="str">
        <x:v>Multiple authors</x:v>
      </x:c>
      <x:c r="H67" s="16" t="str"/>
      <x:c r="I67" s="16" t="str">
        <x:v>Audio; video; ECG; respiration; SpO2; temperature; IMU; RTLS</x:v>
      </x:c>
      <x:c r="J67" s="16" t="str">
        <x:v>Teams</x:v>
      </x:c>
      <x:c r="K67" s="16" t="str">
        <x:v>Collaborative puzzle solving</x:v>
      </x:c>
      <x:c r="L67" s="16" t="str">
        <x:v>Public</x:v>
      </x:c>
      <x:c r="M67" s="16" t="str">
        <x:v>https://puzzle-stamps.is.tue.mpg.de/dataset-data.html</x:v>
      </x:c>
      <x:c r="N67" s="16" t="str">
        <x:v>https://puzzle-stamps.is.tue.mpg.de/</x:v>
      </x:c>
      <x:c r="O67" s="16" t="str">
        <x:v>Social/group comparator</x:v>
      </x:c>
      <x:c r="P67" s="16" t="str">
        <x:v>Very relevant team-interaction dataset with synchronized physiology and audiovisual data.</x:v>
      </x:c>
      <x:c r="Q67" s="16" t="str">
        <x:v>Requires structured comparison against ARL sensing, interaction, decision, and synchronization features.</x:v>
      </x:c>
      <x:c r="R67" s="16" t="str">
        <x:v>Must read</x:v>
      </x:c>
      <x:c r="S67" s="16" t="str">
        <x:v>Source checked</x:v>
      </x:c>
      <x:c r="T67" s="16" t="str">
        <x:v>Not read</x:v>
      </x:c>
      <x:c r="U67" s="16" t="str">
        <x:v>Web search</x:v>
      </x:c>
      <x:c r="V67" s="16" t="str">
        <x:v>Pending</x:v>
      </x:c>
      <x:c r="W67" s="16" t="str"/>
      <x:c r="X67" s="16" t="str">
        <x:v>Added during expansion from 50 to 150 records.</x:v>
      </x:c>
      <x:c r="Y67" s="16" t="str">
        <x:v>2026-08-25</x:v>
      </x:c>
    </x:row>
    <x:row r="68">
      <x:c r="A68" s="16" t="str">
        <x:v>MDMER-0081</x:v>
      </x:c>
      <x:c r="B68" s="16" t="str">
        <x:v>Tier 3</x:v>
      </x:c>
      <x:c r="C68" s="16" t="str">
        <x:v>Decision making</x:v>
      </x:c>
      <x:c r="D68" s="16" t="str">
        <x:v>Dataset paper</x:v>
      </x:c>
      <x:c r="E68" s="16" t="str">
        <x:v>A Comprehensive Multimodal MRI and EEG-TMS Dataset on the Impact of Parietal Cortex Inhibition on Decision-Making under Ambiguity</x:v>
      </x:c>
      <x:c r="F68" s="16" t="n">
        <x:v>2026</x:v>
      </x:c>
      <x:c r="G68" s="16" t="str">
        <x:v>Multiple authors</x:v>
      </x:c>
      <x:c r="H68" s="16" t="str"/>
      <x:c r="I68" s="16" t="str">
        <x:v>MRI; EEG; TMS; behavior</x:v>
      </x:c>
      <x:c r="J68" s="16" t="str">
        <x:v>Individual</x:v>
      </x:c>
      <x:c r="K68" s="16" t="str">
        <x:v>Risk and ambiguity decision-making</x:v>
      </x:c>
      <x:c r="L68" s="16" t="str">
        <x:v>Public</x:v>
      </x:c>
      <x:c r="M68" s="16" t="str"/>
      <x:c r="N68" s="16" t="str">
        <x:v>https://doi.org/10.1016/j.dib.2026.112535</x:v>
      </x:c>
      <x:c r="O68" s="16" t="str">
        <x:v>Decision-making comparator</x:v>
      </x:c>
      <x:c r="P68" s="16" t="str">
        <x:v>Direct decision-under-ambiguity dataset.</x:v>
      </x:c>
      <x:c r="Q68" s="16" t="str">
        <x:v>Requires structured comparison against ARL sensing, interaction, decision, and synchronization features.</x:v>
      </x:c>
      <x:c r="R68" s="16" t="str">
        <x:v>High</x:v>
      </x:c>
      <x:c r="S68" s="16" t="str">
        <x:v>Source checked</x:v>
      </x:c>
      <x:c r="T68" s="16" t="str">
        <x:v>Not read</x:v>
      </x:c>
      <x:c r="U68" s="16" t="str">
        <x:v>Web search</x:v>
      </x:c>
      <x:c r="V68" s="16" t="str">
        <x:v>Pending</x:v>
      </x:c>
      <x:c r="W68" s="16" t="str"/>
      <x:c r="X68" s="16" t="str">
        <x:v>Added during expansion from 50 to 150 records.</x:v>
      </x:c>
      <x:c r="Y68" s="16" t="str">
        <x:v>2026-08-25</x:v>
      </x:c>
    </x:row>
    <x:row r="69">
      <x:c r="A69" s="16" t="str">
        <x:v>MDMER-0130</x:v>
      </x:c>
      <x:c r="B69" s="16" t="str">
        <x:v>Tier 1</x:v>
      </x:c>
      <x:c r="C69" s="16" t="str">
        <x:v>Deception and trust</x:v>
      </x:c>
      <x:c r="D69" s="16" t="str">
        <x:v>Dataset paper</x:v>
      </x:c>
      <x:c r="E69" s="16" t="str">
        <x:v>Deception_data: EEG, Physiological and Behavioral Data during Gambling and Cognitive Control</x:v>
      </x:c>
      <x:c r="F69" s="16" t="n">
        <x:v>2026</x:v>
      </x:c>
      <x:c r="G69" s="16" t="str">
        <x:v>Makowski, Pham &amp; Lau</x:v>
      </x:c>
      <x:c r="H69" s="16" t="str"/>
      <x:c r="I69" s="16" t="str">
        <x:v>EEG; ECG; respiration; EDA; EMG; behavior</x:v>
      </x:c>
      <x:c r="J69" s="16" t="str">
        <x:v>Individual</x:v>
      </x:c>
      <x:c r="K69" s="16" t="str">
        <x:v>Spontaneous deception gambling game; cognitive control</x:v>
      </x:c>
      <x:c r="L69" s="16" t="str">
        <x:v>Public</x:v>
      </x:c>
      <x:c r="M69" s="16" t="str">
        <x:v>https://doi.org/10.18112/openneuro.ds004511.v1.0.2</x:v>
      </x:c>
      <x:c r="N69" s="16" t="str">
        <x:v>https://nemar.org/dataset/on004511</x:v>
      </x:c>
      <x:c r="O69" s="16" t="str">
        <x:v>Direct comparator</x:v>
      </x:c>
      <x:c r="P69" s="16" t="str">
        <x:v>Very strong physiology + deception + decision comparator.</x:v>
      </x:c>
      <x:c r="Q69" s="16" t="str">
        <x:v>Requires structured comparison against ARL sensing, interaction, decision, and synchronization features.</x:v>
      </x:c>
      <x:c r="R69" s="16" t="str">
        <x:v>Must read</x:v>
      </x:c>
      <x:c r="S69" s="16" t="str">
        <x:v>Source checked</x:v>
      </x:c>
      <x:c r="T69" s="16" t="str">
        <x:v>Not read</x:v>
      </x:c>
      <x:c r="U69" s="16" t="str">
        <x:v>Web search</x:v>
      </x:c>
      <x:c r="V69" s="16" t="str">
        <x:v>Pending</x:v>
      </x:c>
      <x:c r="W69" s="16" t="str"/>
      <x:c r="X69" s="16" t="str">
        <x:v>Added during expansion from 50 to 150 records.</x:v>
      </x:c>
      <x:c r="Y69" s="16" t="str">
        <x:v>2026-08-25</x:v>
      </x:c>
    </x:row>
    <x:row r="70">
      <x:c r="A70" s="16" t="str">
        <x:v>MDMER-0131</x:v>
      </x:c>
      <x:c r="B70" s="16" t="str">
        <x:v>Tier 3</x:v>
      </x:c>
      <x:c r="C70" s="16" t="str">
        <x:v>Deception and trust</x:v>
      </x:c>
      <x:c r="D70" s="16" t="str">
        <x:v>Dataset paper</x:v>
      </x:c>
      <x:c r="E70" s="16" t="str">
        <x:v>A Multi-Class EEG Dataset for Behavioral Roles in Deception: Honesty, Bluffing, Lying, and Deceiving</x:v>
      </x:c>
      <x:c r="F70" s="16" t="n">
        <x:v>2026</x:v>
      </x:c>
      <x:c r="G70" s="16" t="str">
        <x:v>Multiple authors</x:v>
      </x:c>
      <x:c r="H70" s="16" t="str"/>
      <x:c r="I70" s="16" t="str">
        <x:v>EEG; event markers</x:v>
      </x:c>
      <x:c r="J70" s="16" t="str">
        <x:v>Individual</x:v>
      </x:c>
      <x:c r="K70" s="16" t="str">
        <x:v>Mock crime / interrogation roles</x:v>
      </x:c>
      <x:c r="L70" s="16" t="str">
        <x:v>Public</x:v>
      </x:c>
      <x:c r="M70" s="16" t="str">
        <x:v>https://doi.org/10.6084/m9.figshare.32302035</x:v>
      </x:c>
      <x:c r="N70" s="16" t="str">
        <x:v>https://www.mdpi.com/2306-5729/11/7/162</x:v>
      </x:c>
      <x:c r="O70" s="16" t="str">
        <x:v>Decision-making comparator</x:v>
      </x:c>
      <x:c r="P70" s="16" t="str">
        <x:v>Role-based deception categories and precise event markers.</x:v>
      </x:c>
      <x:c r="Q70" s="16" t="str">
        <x:v>Requires structured comparison against ARL sensing, interaction, decision, and synchronization features.</x:v>
      </x:c>
      <x:c r="R70" s="16" t="str">
        <x:v>High</x:v>
      </x:c>
      <x:c r="S70" s="16" t="str">
        <x:v>Source checked</x:v>
      </x:c>
      <x:c r="T70" s="16" t="str">
        <x:v>Not read</x:v>
      </x:c>
      <x:c r="U70" s="16" t="str">
        <x:v>Web search</x:v>
      </x:c>
      <x:c r="V70" s="16" t="str">
        <x:v>Pending</x:v>
      </x:c>
      <x:c r="W70" s="16" t="str"/>
      <x:c r="X70" s="16" t="str">
        <x:v>Added during expansion from 50 to 150 records.</x:v>
      </x:c>
      <x:c r="Y70" s="16" t="str">
        <x:v>2026-08-25</x:v>
      </x:c>
    </x:row>
    <x:row r="71">
      <x:c r="A71" s="16"/>
      <x:c r="B71" s="16"/>
      <x:c r="C71" s="16"/>
      <x:c r="D71" s="16"/>
      <x:c r="E71" s="16"/>
      <x:c r="F71" s="16"/>
      <x:c r="G71" s="16"/>
      <x:c r="H71" s="16"/>
      <x:c r="I71" s="16"/>
      <x:c r="J71" s="16"/>
      <x:c r="K71" s="16"/>
      <x:c r="L71" s="16"/>
      <x:c r="M71" s="16"/>
      <x:c r="N71" s="16"/>
      <x:c r="O71" s="16"/>
      <x:c r="P71" s="16"/>
      <x:c r="Q71" s="16"/>
      <x:c r="R71" s="16"/>
      <x:c r="S71" s="16"/>
      <x:c r="T71" s="16"/>
      <x:c r="U71" s="16"/>
      <x:c r="V71" s="16"/>
      <x:c r="W71" s="16"/>
      <x:c r="X71" s="16"/>
      <x:c r="Y71" s="16"/>
    </x:row>
    <x:row r="72">
      <x:c r="A72" s="16"/>
      <x:c r="B72" s="16"/>
      <x:c r="C72" s="16"/>
      <x:c r="D72" s="16"/>
      <x:c r="E72" s="16"/>
      <x:c r="F72" s="16"/>
      <x:c r="G72" s="16"/>
      <x:c r="H72" s="16"/>
      <x:c r="I72" s="16"/>
      <x:c r="J72" s="16"/>
      <x:c r="K72" s="16"/>
      <x:c r="L72" s="16"/>
      <x:c r="M72" s="16"/>
      <x:c r="N72" s="16"/>
      <x:c r="O72" s="16"/>
      <x:c r="P72" s="16"/>
      <x:c r="Q72" s="16"/>
      <x:c r="R72" s="16"/>
      <x:c r="S72" s="16"/>
      <x:c r="T72" s="16"/>
      <x:c r="U72" s="16"/>
      <x:c r="V72" s="16"/>
      <x:c r="W72" s="16"/>
      <x:c r="X72" s="16"/>
      <x:c r="Y72" s="16"/>
    </x:row>
    <x:row r="73">
      <x:c r="A73" s="16"/>
      <x:c r="B73" s="16"/>
      <x:c r="C73" s="16"/>
      <x:c r="D73" s="16"/>
      <x:c r="E73" s="16"/>
      <x:c r="F73" s="16"/>
      <x:c r="G73" s="16"/>
      <x:c r="H73" s="16"/>
      <x:c r="I73" s="16"/>
      <x:c r="J73" s="16"/>
      <x:c r="K73" s="16"/>
      <x:c r="L73" s="16"/>
      <x:c r="M73" s="16"/>
      <x:c r="N73" s="16"/>
      <x:c r="O73" s="16"/>
      <x:c r="P73" s="16"/>
      <x:c r="Q73" s="16"/>
      <x:c r="R73" s="16"/>
      <x:c r="S73" s="16"/>
      <x:c r="T73" s="16"/>
      <x:c r="U73" s="16"/>
      <x:c r="V73" s="16"/>
      <x:c r="W73" s="16"/>
      <x:c r="X73" s="16"/>
      <x:c r="Y73" s="16"/>
    </x:row>
    <x:row r="74">
      <x:c r="A74" s="16"/>
      <x:c r="B74" s="16"/>
      <x:c r="C74" s="16"/>
      <x:c r="D74" s="16"/>
      <x:c r="E74" s="16"/>
      <x:c r="F74" s="16"/>
      <x:c r="G74" s="16"/>
      <x:c r="H74" s="16"/>
      <x:c r="I74" s="16"/>
      <x:c r="J74" s="16"/>
      <x:c r="K74" s="16"/>
      <x:c r="L74" s="16"/>
      <x:c r="M74" s="16"/>
      <x:c r="N74" s="16"/>
      <x:c r="O74" s="16"/>
      <x:c r="P74" s="16"/>
      <x:c r="Q74" s="16"/>
      <x:c r="R74" s="16"/>
      <x:c r="S74" s="16"/>
      <x:c r="T74" s="16"/>
      <x:c r="U74" s="16"/>
      <x:c r="V74" s="16"/>
      <x:c r="W74" s="16"/>
      <x:c r="X74" s="16"/>
      <x:c r="Y74" s="16"/>
    </x:row>
    <x:row r="75">
      <x:c r="A75" s="16"/>
      <x:c r="B75" s="16"/>
      <x:c r="C75" s="16"/>
      <x:c r="D75" s="16"/>
      <x:c r="E75" s="16"/>
      <x:c r="F75" s="16"/>
      <x:c r="G75" s="16"/>
      <x:c r="H75" s="16"/>
      <x:c r="I75" s="16"/>
      <x:c r="J75" s="16"/>
      <x:c r="K75" s="16"/>
      <x:c r="L75" s="16"/>
      <x:c r="M75" s="16"/>
      <x:c r="N75" s="16"/>
      <x:c r="O75" s="16"/>
      <x:c r="P75" s="16"/>
      <x:c r="Q75" s="16"/>
      <x:c r="R75" s="16"/>
      <x:c r="S75" s="16"/>
      <x:c r="T75" s="16"/>
      <x:c r="U75" s="16"/>
      <x:c r="V75" s="16"/>
      <x:c r="W75" s="16"/>
      <x:c r="X75" s="16"/>
      <x:c r="Y75" s="16"/>
    </x:row>
    <x:row r="76">
      <x:c r="A76" s="16"/>
      <x:c r="B76" s="16"/>
      <x:c r="C76" s="16"/>
      <x:c r="D76" s="16"/>
      <x:c r="E76" s="16"/>
      <x:c r="F76" s="16"/>
      <x:c r="G76" s="16"/>
      <x:c r="H76" s="16"/>
      <x:c r="I76" s="16"/>
      <x:c r="J76" s="16"/>
      <x:c r="K76" s="16"/>
      <x:c r="L76" s="16"/>
      <x:c r="M76" s="16"/>
      <x:c r="N76" s="16"/>
      <x:c r="O76" s="16"/>
      <x:c r="P76" s="16"/>
      <x:c r="Q76" s="16"/>
      <x:c r="R76" s="16"/>
      <x:c r="S76" s="16"/>
      <x:c r="T76" s="16"/>
      <x:c r="U76" s="16"/>
      <x:c r="V76" s="16"/>
      <x:c r="W76" s="16"/>
      <x:c r="X76" s="16"/>
      <x:c r="Y76" s="16"/>
    </x:row>
    <x:row r="77">
      <x:c r="A77" s="16"/>
      <x:c r="B77" s="16"/>
      <x:c r="C77" s="16"/>
      <x:c r="D77" s="16"/>
      <x:c r="E77" s="16"/>
      <x:c r="F77" s="16"/>
      <x:c r="G77" s="16"/>
      <x:c r="H77" s="16"/>
      <x:c r="I77" s="16"/>
      <x:c r="J77" s="16"/>
      <x:c r="K77" s="16"/>
      <x:c r="L77" s="16"/>
      <x:c r="M77" s="16"/>
      <x:c r="N77" s="16"/>
      <x:c r="O77" s="16"/>
      <x:c r="P77" s="16"/>
      <x:c r="Q77" s="16"/>
      <x:c r="R77" s="16"/>
      <x:c r="S77" s="16"/>
      <x:c r="T77" s="16"/>
      <x:c r="U77" s="16"/>
      <x:c r="V77" s="16"/>
      <x:c r="W77" s="16"/>
      <x:c r="X77" s="16"/>
      <x:c r="Y77" s="16"/>
    </x:row>
    <x:row r="78">
      <x:c r="A78" s="16"/>
      <x:c r="B78" s="16"/>
      <x:c r="C78" s="16"/>
      <x:c r="D78" s="16"/>
      <x:c r="E78" s="16"/>
      <x:c r="F78" s="16"/>
      <x:c r="G78" s="16"/>
      <x:c r="H78" s="16"/>
      <x:c r="I78" s="16"/>
      <x:c r="J78" s="16"/>
      <x:c r="K78" s="16"/>
      <x:c r="L78" s="16"/>
      <x:c r="M78" s="16"/>
      <x:c r="N78" s="16"/>
      <x:c r="O78" s="16"/>
      <x:c r="P78" s="16"/>
      <x:c r="Q78" s="16"/>
      <x:c r="R78" s="16"/>
      <x:c r="S78" s="16"/>
      <x:c r="T78" s="16"/>
      <x:c r="U78" s="16"/>
      <x:c r="V78" s="16"/>
      <x:c r="W78" s="16"/>
      <x:c r="X78" s="16"/>
      <x:c r="Y78" s="16"/>
    </x:row>
    <x:row r="79">
      <x:c r="A79" s="16"/>
      <x:c r="B79" s="16"/>
      <x:c r="C79" s="16"/>
      <x:c r="D79" s="16"/>
      <x:c r="E79" s="16"/>
      <x:c r="F79" s="16"/>
      <x:c r="G79" s="16"/>
      <x:c r="H79" s="16"/>
      <x:c r="I79" s="16"/>
      <x:c r="J79" s="16"/>
      <x:c r="K79" s="16"/>
      <x:c r="L79" s="16"/>
      <x:c r="M79" s="16"/>
      <x:c r="N79" s="16"/>
      <x:c r="O79" s="16"/>
      <x:c r="P79" s="16"/>
      <x:c r="Q79" s="16"/>
      <x:c r="R79" s="16"/>
      <x:c r="S79" s="16"/>
      <x:c r="T79" s="16"/>
      <x:c r="U79" s="16"/>
      <x:c r="V79" s="16"/>
      <x:c r="W79" s="16"/>
      <x:c r="X79" s="16"/>
      <x:c r="Y79" s="16"/>
    </x:row>
    <x:row r="80">
      <x:c r="A80" s="16"/>
      <x:c r="B80" s="16"/>
      <x:c r="C80" s="16"/>
      <x:c r="D80" s="16"/>
      <x:c r="E80" s="16"/>
      <x:c r="F80" s="16"/>
      <x:c r="G80" s="16"/>
      <x:c r="H80" s="16"/>
      <x:c r="I80" s="16"/>
      <x:c r="J80" s="16"/>
      <x:c r="K80" s="16"/>
      <x:c r="L80" s="16"/>
      <x:c r="M80" s="16"/>
      <x:c r="N80" s="16"/>
      <x:c r="O80" s="16"/>
      <x:c r="P80" s="16"/>
      <x:c r="Q80" s="16"/>
      <x:c r="R80" s="16"/>
      <x:c r="S80" s="16"/>
      <x:c r="T80" s="16"/>
      <x:c r="U80" s="16"/>
      <x:c r="V80" s="16"/>
      <x:c r="W80" s="16"/>
      <x:c r="X80" s="16"/>
      <x:c r="Y80" s="16"/>
    </x:row>
    <x:row r="81">
      <x:c r="A81" s="16"/>
      <x:c r="B81" s="16"/>
      <x:c r="C81" s="16"/>
      <x:c r="D81" s="16"/>
      <x:c r="E81" s="16"/>
      <x:c r="F81" s="16"/>
      <x:c r="G81" s="16"/>
      <x:c r="H81" s="16"/>
      <x:c r="I81" s="16"/>
      <x:c r="J81" s="16"/>
      <x:c r="K81" s="16"/>
      <x:c r="L81" s="16"/>
      <x:c r="M81" s="16"/>
      <x:c r="N81" s="16"/>
      <x:c r="O81" s="16"/>
      <x:c r="P81" s="16"/>
      <x:c r="Q81" s="16"/>
      <x:c r="R81" s="16"/>
      <x:c r="S81" s="16"/>
      <x:c r="T81" s="16"/>
      <x:c r="U81" s="16"/>
      <x:c r="V81" s="16"/>
      <x:c r="W81" s="16"/>
      <x:c r="X81" s="16"/>
      <x:c r="Y81" s="16"/>
    </x:row>
    <x:row r="82">
      <x:c r="A82" s="16"/>
      <x:c r="B82" s="16"/>
      <x:c r="C82" s="16"/>
      <x:c r="D82" s="16"/>
      <x:c r="E82" s="16"/>
      <x:c r="F82" s="16"/>
      <x:c r="G82" s="16"/>
      <x:c r="H82" s="16"/>
      <x:c r="I82" s="16"/>
      <x:c r="J82" s="16"/>
      <x:c r="K82" s="16"/>
      <x:c r="L82" s="16"/>
      <x:c r="M82" s="16"/>
      <x:c r="N82" s="16"/>
      <x:c r="O82" s="16"/>
      <x:c r="P82" s="16"/>
      <x:c r="Q82" s="16"/>
      <x:c r="R82" s="16"/>
      <x:c r="S82" s="16"/>
      <x:c r="T82" s="16"/>
      <x:c r="U82" s="16"/>
      <x:c r="V82" s="16"/>
      <x:c r="W82" s="16"/>
      <x:c r="X82" s="16"/>
      <x:c r="Y82" s="16"/>
    </x:row>
    <x:row r="83">
      <x:c r="A83" s="16"/>
      <x:c r="B83" s="16"/>
      <x:c r="C83" s="16"/>
      <x:c r="D83" s="16"/>
      <x:c r="E83" s="16"/>
      <x:c r="F83" s="16"/>
      <x:c r="G83" s="16"/>
      <x:c r="H83" s="16"/>
      <x:c r="I83" s="16"/>
      <x:c r="J83" s="16"/>
      <x:c r="K83" s="16"/>
      <x:c r="L83" s="16"/>
      <x:c r="M83" s="16"/>
      <x:c r="N83" s="16"/>
      <x:c r="O83" s="16"/>
      <x:c r="P83" s="16"/>
      <x:c r="Q83" s="16"/>
      <x:c r="R83" s="16"/>
      <x:c r="S83" s="16"/>
      <x:c r="T83" s="16"/>
      <x:c r="U83" s="16"/>
      <x:c r="V83" s="16"/>
      <x:c r="W83" s="16"/>
      <x:c r="X83" s="16"/>
      <x:c r="Y83" s="16"/>
    </x:row>
    <x:row r="84">
      <x:c r="A84" s="16"/>
      <x:c r="B84" s="16"/>
      <x:c r="C84" s="16"/>
      <x:c r="D84" s="16"/>
      <x:c r="E84" s="16"/>
      <x:c r="F84" s="16"/>
      <x:c r="G84" s="16"/>
      <x:c r="H84" s="16"/>
      <x:c r="I84" s="16"/>
      <x:c r="J84" s="16"/>
      <x:c r="K84" s="16"/>
      <x:c r="L84" s="16"/>
      <x:c r="M84" s="16"/>
      <x:c r="N84" s="16"/>
      <x:c r="O84" s="16"/>
      <x:c r="P84" s="16"/>
      <x:c r="Q84" s="16"/>
      <x:c r="R84" s="16"/>
      <x:c r="S84" s="16"/>
      <x:c r="T84" s="16"/>
      <x:c r="U84" s="16"/>
      <x:c r="V84" s="16"/>
      <x:c r="W84" s="16"/>
      <x:c r="X84" s="16"/>
      <x:c r="Y84" s="16"/>
    </x:row>
    <x:row r="85">
      <x:c r="A85" s="16"/>
      <x:c r="B85" s="16"/>
      <x:c r="C85" s="16"/>
      <x:c r="D85" s="16"/>
      <x:c r="E85" s="16"/>
      <x:c r="F85" s="16"/>
      <x:c r="G85" s="16"/>
      <x:c r="H85" s="16"/>
      <x:c r="I85" s="16"/>
      <x:c r="J85" s="16"/>
      <x:c r="K85" s="16"/>
      <x:c r="L85" s="16"/>
      <x:c r="M85" s="16"/>
      <x:c r="N85" s="16"/>
      <x:c r="O85" s="16"/>
      <x:c r="P85" s="16"/>
      <x:c r="Q85" s="16"/>
      <x:c r="R85" s="16"/>
      <x:c r="S85" s="16"/>
      <x:c r="T85" s="16"/>
      <x:c r="U85" s="16"/>
      <x:c r="V85" s="16"/>
      <x:c r="W85" s="16"/>
      <x:c r="X85" s="16"/>
      <x:c r="Y85" s="16"/>
    </x:row>
    <x:row r="86">
      <x:c r="A86" s="16"/>
      <x:c r="B86" s="16"/>
      <x:c r="C86" s="16"/>
      <x:c r="D86" s="16"/>
      <x:c r="E86" s="16"/>
      <x:c r="F86" s="16"/>
      <x:c r="G86" s="16"/>
      <x:c r="H86" s="16"/>
      <x:c r="I86" s="16"/>
      <x:c r="J86" s="16"/>
      <x:c r="K86" s="16"/>
      <x:c r="L86" s="16"/>
      <x:c r="M86" s="16"/>
      <x:c r="N86" s="16"/>
      <x:c r="O86" s="16"/>
      <x:c r="P86" s="16"/>
      <x:c r="Q86" s="16"/>
      <x:c r="R86" s="16"/>
      <x:c r="S86" s="16"/>
      <x:c r="T86" s="16"/>
      <x:c r="U86" s="16"/>
      <x:c r="V86" s="16"/>
      <x:c r="W86" s="16"/>
      <x:c r="X86" s="16"/>
      <x:c r="Y86" s="16"/>
    </x:row>
    <x:row r="87">
      <x:c r="A87" s="16"/>
      <x:c r="B87" s="16"/>
      <x:c r="C87" s="16"/>
      <x:c r="D87" s="16"/>
      <x:c r="E87" s="16"/>
      <x:c r="F87" s="16"/>
      <x:c r="G87" s="16"/>
      <x:c r="H87" s="16"/>
      <x:c r="I87" s="16"/>
      <x:c r="J87" s="16"/>
      <x:c r="K87" s="16"/>
      <x:c r="L87" s="16"/>
      <x:c r="M87" s="16"/>
      <x:c r="N87" s="16"/>
      <x:c r="O87" s="16"/>
      <x:c r="P87" s="16"/>
      <x:c r="Q87" s="16"/>
      <x:c r="R87" s="16"/>
      <x:c r="S87" s="16"/>
      <x:c r="T87" s="16"/>
      <x:c r="U87" s="16"/>
      <x:c r="V87" s="16"/>
      <x:c r="W87" s="16"/>
      <x:c r="X87" s="16"/>
      <x:c r="Y87" s="16"/>
    </x:row>
    <x:row r="88">
      <x:c r="A88" s="16"/>
      <x:c r="B88" s="16"/>
      <x:c r="C88" s="16"/>
      <x:c r="D88" s="16"/>
      <x:c r="E88" s="16"/>
      <x:c r="F88" s="16"/>
      <x:c r="G88" s="16"/>
      <x:c r="H88" s="16"/>
      <x:c r="I88" s="16"/>
      <x:c r="J88" s="16"/>
      <x:c r="K88" s="16"/>
      <x:c r="L88" s="16"/>
      <x:c r="M88" s="16"/>
      <x:c r="N88" s="16"/>
      <x:c r="O88" s="16"/>
      <x:c r="P88" s="16"/>
      <x:c r="Q88" s="16"/>
      <x:c r="R88" s="16"/>
      <x:c r="S88" s="16"/>
      <x:c r="T88" s="16"/>
      <x:c r="U88" s="16"/>
      <x:c r="V88" s="16"/>
      <x:c r="W88" s="16"/>
      <x:c r="X88" s="16"/>
      <x:c r="Y88" s="16"/>
    </x:row>
    <x:row r="89">
      <x:c r="A89" s="16"/>
      <x:c r="B89" s="16"/>
      <x:c r="C89" s="16"/>
      <x:c r="D89" s="16"/>
      <x:c r="E89" s="16"/>
      <x:c r="F89" s="16"/>
      <x:c r="G89" s="16"/>
      <x:c r="H89" s="16"/>
      <x:c r="I89" s="16"/>
      <x:c r="J89" s="16"/>
      <x:c r="K89" s="16"/>
      <x:c r="L89" s="16"/>
      <x:c r="M89" s="16"/>
      <x:c r="N89" s="16"/>
      <x:c r="O89" s="16"/>
      <x:c r="P89" s="16"/>
      <x:c r="Q89" s="16"/>
      <x:c r="R89" s="16"/>
      <x:c r="S89" s="16"/>
      <x:c r="T89" s="16"/>
      <x:c r="U89" s="16"/>
      <x:c r="V89" s="16"/>
      <x:c r="W89" s="16"/>
      <x:c r="X89" s="16"/>
      <x:c r="Y89" s="16"/>
    </x:row>
    <x:row r="90">
      <x:c r="A90" s="16"/>
      <x:c r="B90" s="16"/>
      <x:c r="C90" s="16"/>
      <x:c r="D90" s="16"/>
      <x:c r="E90" s="16"/>
      <x:c r="F90" s="16"/>
      <x:c r="G90" s="16"/>
      <x:c r="H90" s="16"/>
      <x:c r="I90" s="16"/>
      <x:c r="J90" s="16"/>
      <x:c r="K90" s="16"/>
      <x:c r="L90" s="16"/>
      <x:c r="M90" s="16"/>
      <x:c r="N90" s="16"/>
      <x:c r="O90" s="16"/>
      <x:c r="P90" s="16"/>
      <x:c r="Q90" s="16"/>
      <x:c r="R90" s="16"/>
      <x:c r="S90" s="16"/>
      <x:c r="T90" s="16"/>
      <x:c r="U90" s="16"/>
      <x:c r="V90" s="16"/>
      <x:c r="W90" s="16"/>
      <x:c r="X90" s="16"/>
      <x:c r="Y90" s="16"/>
    </x:row>
    <x:row r="91">
      <x:c r="A91" s="16"/>
      <x:c r="B91" s="16"/>
      <x:c r="C91" s="16"/>
      <x:c r="D91" s="16"/>
      <x:c r="E91" s="16"/>
      <x:c r="F91" s="16"/>
      <x:c r="G91" s="16"/>
      <x:c r="H91" s="16"/>
      <x:c r="I91" s="16"/>
      <x:c r="J91" s="16"/>
      <x:c r="K91" s="16"/>
      <x:c r="L91" s="16"/>
      <x:c r="M91" s="16"/>
      <x:c r="N91" s="16"/>
      <x:c r="O91" s="16"/>
      <x:c r="P91" s="16"/>
      <x:c r="Q91" s="16"/>
      <x:c r="R91" s="16"/>
      <x:c r="S91" s="16"/>
      <x:c r="T91" s="16"/>
      <x:c r="U91" s="16"/>
      <x:c r="V91" s="16"/>
      <x:c r="W91" s="16"/>
      <x:c r="X91" s="16"/>
      <x:c r="Y91" s="16"/>
    </x:row>
    <x:row r="92">
      <x:c r="A92" s="16"/>
      <x:c r="B92" s="16"/>
      <x:c r="C92" s="16"/>
      <x:c r="D92" s="16"/>
      <x:c r="E92" s="16"/>
      <x:c r="F92" s="16"/>
      <x:c r="G92" s="16"/>
      <x:c r="H92" s="16"/>
      <x:c r="I92" s="16"/>
      <x:c r="J92" s="16"/>
      <x:c r="K92" s="16"/>
      <x:c r="L92" s="16"/>
      <x:c r="M92" s="16"/>
      <x:c r="N92" s="16"/>
      <x:c r="O92" s="16"/>
      <x:c r="P92" s="16"/>
      <x:c r="Q92" s="16"/>
      <x:c r="R92" s="16"/>
      <x:c r="S92" s="16"/>
      <x:c r="T92" s="16"/>
      <x:c r="U92" s="16"/>
      <x:c r="V92" s="16"/>
      <x:c r="W92" s="16"/>
      <x:c r="X92" s="16"/>
      <x:c r="Y92" s="16"/>
    </x:row>
    <x:row r="93">
      <x:c r="A93" s="16"/>
      <x:c r="B93" s="16"/>
      <x:c r="C93" s="16"/>
      <x:c r="D93" s="16"/>
      <x:c r="E93" s="16"/>
      <x:c r="F93" s="16"/>
      <x:c r="G93" s="16"/>
      <x:c r="H93" s="16"/>
      <x:c r="I93" s="16"/>
      <x:c r="J93" s="16"/>
      <x:c r="K93" s="16"/>
      <x:c r="L93" s="16"/>
      <x:c r="M93" s="16"/>
      <x:c r="N93" s="16"/>
      <x:c r="O93" s="16"/>
      <x:c r="P93" s="16"/>
      <x:c r="Q93" s="16"/>
      <x:c r="R93" s="16"/>
      <x:c r="S93" s="16"/>
      <x:c r="T93" s="16"/>
      <x:c r="U93" s="16"/>
      <x:c r="V93" s="16"/>
      <x:c r="W93" s="16"/>
      <x:c r="X93" s="16"/>
      <x:c r="Y93" s="16"/>
    </x:row>
    <x:row r="94">
      <x:c r="A94" s="16"/>
      <x:c r="B94" s="16"/>
      <x:c r="C94" s="16"/>
      <x:c r="D94" s="16"/>
      <x:c r="E94" s="16"/>
      <x:c r="F94" s="16"/>
      <x:c r="G94" s="16"/>
      <x:c r="H94" s="16"/>
      <x:c r="I94" s="16"/>
      <x:c r="J94" s="16"/>
      <x:c r="K94" s="16"/>
      <x:c r="L94" s="16"/>
      <x:c r="M94" s="16"/>
      <x:c r="N94" s="16"/>
      <x:c r="O94" s="16"/>
      <x:c r="P94" s="16"/>
      <x:c r="Q94" s="16"/>
      <x:c r="R94" s="16"/>
      <x:c r="S94" s="16"/>
      <x:c r="T94" s="16"/>
      <x:c r="U94" s="16"/>
      <x:c r="V94" s="16"/>
      <x:c r="W94" s="16"/>
      <x:c r="X94" s="16"/>
      <x:c r="Y94" s="16"/>
    </x:row>
    <x:row r="95">
      <x:c r="A95" s="16"/>
      <x:c r="B95" s="16"/>
      <x:c r="C95" s="16"/>
      <x:c r="D95" s="16"/>
      <x:c r="E95" s="16"/>
      <x:c r="F95" s="16"/>
      <x:c r="G95" s="16"/>
      <x:c r="H95" s="16"/>
      <x:c r="I95" s="16"/>
      <x:c r="J95" s="16"/>
      <x:c r="K95" s="16"/>
      <x:c r="L95" s="16"/>
      <x:c r="M95" s="16"/>
      <x:c r="N95" s="16"/>
      <x:c r="O95" s="16"/>
      <x:c r="P95" s="16"/>
      <x:c r="Q95" s="16"/>
      <x:c r="R95" s="16"/>
      <x:c r="S95" s="16"/>
      <x:c r="T95" s="16"/>
      <x:c r="U95" s="16"/>
      <x:c r="V95" s="16"/>
      <x:c r="W95" s="16"/>
      <x:c r="X95" s="16"/>
      <x:c r="Y95" s="16"/>
    </x:row>
    <x:row r="96">
      <x:c r="A96" s="16"/>
      <x:c r="B96" s="16"/>
      <x:c r="C96" s="16"/>
      <x:c r="D96" s="16"/>
      <x:c r="E96" s="16"/>
      <x:c r="F96" s="16"/>
      <x:c r="G96" s="16"/>
      <x:c r="H96" s="16"/>
      <x:c r="I96" s="16"/>
      <x:c r="J96" s="16"/>
      <x:c r="K96" s="16"/>
      <x:c r="L96" s="16"/>
      <x:c r="M96" s="16"/>
      <x:c r="N96" s="16"/>
      <x:c r="O96" s="16"/>
      <x:c r="P96" s="16"/>
      <x:c r="Q96" s="16"/>
      <x:c r="R96" s="16"/>
      <x:c r="S96" s="16"/>
      <x:c r="T96" s="16"/>
      <x:c r="U96" s="16"/>
      <x:c r="V96" s="16"/>
      <x:c r="W96" s="16"/>
      <x:c r="X96" s="16"/>
      <x:c r="Y96" s="16"/>
    </x:row>
    <x:row r="97">
      <x:c r="A97" s="16"/>
      <x:c r="B97" s="16"/>
      <x:c r="C97" s="16"/>
      <x:c r="D97" s="16"/>
      <x:c r="E97" s="16"/>
      <x:c r="F97" s="16"/>
      <x:c r="G97" s="16"/>
      <x:c r="H97" s="16"/>
      <x:c r="I97" s="16"/>
      <x:c r="J97" s="16"/>
      <x:c r="K97" s="16"/>
      <x:c r="L97" s="16"/>
      <x:c r="M97" s="16"/>
      <x:c r="N97" s="16"/>
      <x:c r="O97" s="16"/>
      <x:c r="P97" s="16"/>
      <x:c r="Q97" s="16"/>
      <x:c r="R97" s="16"/>
      <x:c r="S97" s="16"/>
      <x:c r="T97" s="16"/>
      <x:c r="U97" s="16"/>
      <x:c r="V97" s="16"/>
      <x:c r="W97" s="16"/>
      <x:c r="X97" s="16"/>
      <x:c r="Y97" s="16"/>
    </x:row>
    <x:row r="98">
      <x:c r="A98" s="16"/>
      <x:c r="B98" s="16"/>
      <x:c r="C98" s="16"/>
      <x:c r="D98" s="16"/>
      <x:c r="E98" s="16"/>
      <x:c r="F98" s="16"/>
      <x:c r="G98" s="16"/>
      <x:c r="H98" s="16"/>
      <x:c r="I98" s="16"/>
      <x:c r="J98" s="16"/>
      <x:c r="K98" s="16"/>
      <x:c r="L98" s="16"/>
      <x:c r="M98" s="16"/>
      <x:c r="N98" s="16"/>
      <x:c r="O98" s="16"/>
      <x:c r="P98" s="16"/>
      <x:c r="Q98" s="16"/>
      <x:c r="R98" s="16"/>
      <x:c r="S98" s="16"/>
      <x:c r="T98" s="16"/>
      <x:c r="U98" s="16"/>
      <x:c r="V98" s="16"/>
      <x:c r="W98" s="16"/>
      <x:c r="X98" s="16"/>
      <x:c r="Y98" s="16"/>
    </x:row>
    <x:row r="99">
      <x:c r="A99" s="16"/>
      <x:c r="B99" s="16"/>
      <x:c r="C99" s="16"/>
      <x:c r="D99" s="16"/>
      <x:c r="E99" s="16"/>
      <x:c r="F99" s="16"/>
      <x:c r="G99" s="16"/>
      <x:c r="H99" s="16"/>
      <x:c r="I99" s="16"/>
      <x:c r="J99" s="16"/>
      <x:c r="K99" s="16"/>
      <x:c r="L99" s="16"/>
      <x:c r="M99" s="16"/>
      <x:c r="N99" s="16"/>
      <x:c r="O99" s="16"/>
      <x:c r="P99" s="16"/>
      <x:c r="Q99" s="16"/>
      <x:c r="R99" s="16"/>
      <x:c r="S99" s="16"/>
      <x:c r="T99" s="16"/>
      <x:c r="U99" s="16"/>
      <x:c r="V99" s="16"/>
      <x:c r="W99" s="16"/>
      <x:c r="X99" s="16"/>
      <x:c r="Y99" s="16"/>
    </x:row>
    <x:row r="100">
      <x:c r="A100" s="16"/>
      <x:c r="B100" s="16"/>
      <x:c r="C100" s="16"/>
      <x:c r="D100" s="16"/>
      <x:c r="E100" s="16"/>
      <x:c r="F100" s="16"/>
      <x:c r="G100" s="16"/>
      <x:c r="H100" s="16"/>
      <x:c r="I100" s="16"/>
      <x:c r="J100" s="16"/>
      <x:c r="K100" s="16"/>
      <x:c r="L100" s="16"/>
      <x:c r="M100" s="16"/>
      <x:c r="N100" s="16"/>
      <x:c r="O100" s="16"/>
      <x:c r="P100" s="16"/>
      <x:c r="Q100" s="16"/>
      <x:c r="R100" s="16"/>
      <x:c r="S100" s="16"/>
      <x:c r="T100" s="16"/>
      <x:c r="U100" s="16"/>
      <x:c r="V100" s="16"/>
      <x:c r="W100" s="16"/>
      <x:c r="X100" s="16"/>
      <x:c r="Y100" s="16"/>
    </x:row>
    <x:row r="101">
      <x:c r="A101" s="16"/>
      <x:c r="B101" s="16"/>
      <x:c r="C101" s="16"/>
      <x:c r="D101" s="16"/>
      <x:c r="E101" s="16"/>
      <x:c r="F101" s="16"/>
      <x:c r="G101" s="16"/>
      <x:c r="H101" s="16"/>
      <x:c r="I101" s="16"/>
      <x:c r="J101" s="16"/>
      <x:c r="K101" s="16"/>
      <x:c r="L101" s="16"/>
      <x:c r="M101" s="16"/>
      <x:c r="N101" s="16"/>
      <x:c r="O101" s="16"/>
      <x:c r="P101" s="16"/>
      <x:c r="Q101" s="16"/>
      <x:c r="R101" s="16"/>
      <x:c r="S101" s="16"/>
      <x:c r="T101" s="16"/>
      <x:c r="U101" s="16"/>
      <x:c r="V101" s="16"/>
      <x:c r="W101" s="16"/>
      <x:c r="X101" s="16"/>
      <x:c r="Y101" s="16"/>
    </x:row>
    <x:row r="102">
      <x:c r="A102" s="16"/>
      <x:c r="B102" s="16"/>
      <x:c r="C102" s="16"/>
      <x:c r="D102" s="16"/>
      <x:c r="E102" s="16"/>
      <x:c r="F102" s="16"/>
      <x:c r="G102" s="16"/>
      <x:c r="H102" s="16"/>
      <x:c r="I102" s="16"/>
      <x:c r="J102" s="16"/>
      <x:c r="K102" s="16"/>
      <x:c r="L102" s="16"/>
      <x:c r="M102" s="16"/>
      <x:c r="N102" s="16"/>
      <x:c r="O102" s="16"/>
      <x:c r="P102" s="16"/>
      <x:c r="Q102" s="16"/>
      <x:c r="R102" s="16"/>
      <x:c r="S102" s="16"/>
      <x:c r="T102" s="16"/>
      <x:c r="U102" s="16"/>
      <x:c r="V102" s="16"/>
      <x:c r="W102" s="16"/>
      <x:c r="X102" s="16"/>
      <x:c r="Y102" s="16"/>
    </x:row>
    <x:row r="103">
      <x:c r="A103" s="16"/>
      <x:c r="B103" s="16"/>
      <x:c r="C103" s="16"/>
      <x:c r="D103" s="16"/>
      <x:c r="E103" s="16"/>
      <x:c r="F103" s="16"/>
      <x:c r="G103" s="16"/>
      <x:c r="H103" s="16"/>
      <x:c r="I103" s="16"/>
      <x:c r="J103" s="16"/>
      <x:c r="K103" s="16"/>
      <x:c r="L103" s="16"/>
      <x:c r="M103" s="16"/>
      <x:c r="N103" s="16"/>
      <x:c r="O103" s="16"/>
      <x:c r="P103" s="16"/>
      <x:c r="Q103" s="16"/>
      <x:c r="R103" s="16"/>
      <x:c r="S103" s="16"/>
      <x:c r="T103" s="16"/>
      <x:c r="U103" s="16"/>
      <x:c r="V103" s="16"/>
      <x:c r="W103" s="16"/>
      <x:c r="X103" s="16"/>
      <x:c r="Y103" s="16"/>
    </x:row>
    <x:row r="104">
      <x:c r="A104" s="16"/>
      <x:c r="B104" s="16"/>
      <x:c r="C104" s="16"/>
      <x:c r="D104" s="16"/>
      <x:c r="E104" s="16"/>
      <x:c r="F104" s="16"/>
      <x:c r="G104" s="16"/>
      <x:c r="H104" s="16"/>
      <x:c r="I104" s="16"/>
      <x:c r="J104" s="16"/>
      <x:c r="K104" s="16"/>
      <x:c r="L104" s="16"/>
      <x:c r="M104" s="16"/>
      <x:c r="N104" s="16"/>
      <x:c r="O104" s="16"/>
      <x:c r="P104" s="16"/>
      <x:c r="Q104" s="16"/>
      <x:c r="R104" s="16"/>
      <x:c r="S104" s="16"/>
      <x:c r="T104" s="16"/>
      <x:c r="U104" s="16"/>
      <x:c r="V104" s="16"/>
      <x:c r="W104" s="16"/>
      <x:c r="X104" s="16"/>
      <x:c r="Y104" s="16"/>
    </x:row>
    <x:row r="105">
      <x:c r="A105" s="16"/>
      <x:c r="B105" s="16"/>
      <x:c r="C105" s="16"/>
      <x:c r="D105" s="16"/>
      <x:c r="E105" s="16"/>
      <x:c r="F105" s="16"/>
      <x:c r="G105" s="16"/>
      <x:c r="H105" s="16"/>
      <x:c r="I105" s="16"/>
      <x:c r="J105" s="16"/>
      <x:c r="K105" s="16"/>
      <x:c r="L105" s="16"/>
      <x:c r="M105" s="16"/>
      <x:c r="N105" s="16"/>
      <x:c r="O105" s="16"/>
      <x:c r="P105" s="16"/>
      <x:c r="Q105" s="16"/>
      <x:c r="R105" s="16"/>
      <x:c r="S105" s="16"/>
      <x:c r="T105" s="16"/>
      <x:c r="U105" s="16"/>
      <x:c r="V105" s="16"/>
      <x:c r="W105" s="16"/>
      <x:c r="X105" s="16"/>
      <x:c r="Y105" s="16"/>
    </x:row>
    <x:row r="106">
      <x:c r="A106" s="16"/>
      <x:c r="B106" s="16"/>
      <x:c r="C106" s="16"/>
      <x:c r="D106" s="16"/>
      <x:c r="E106" s="16"/>
      <x:c r="F106" s="16"/>
      <x:c r="G106" s="16"/>
      <x:c r="H106" s="16"/>
      <x:c r="I106" s="16"/>
      <x:c r="J106" s="16"/>
      <x:c r="K106" s="16"/>
      <x:c r="L106" s="16"/>
      <x:c r="M106" s="16"/>
      <x:c r="N106" s="16"/>
      <x:c r="O106" s="16"/>
      <x:c r="P106" s="16"/>
      <x:c r="Q106" s="16"/>
      <x:c r="R106" s="16"/>
      <x:c r="S106" s="16"/>
      <x:c r="T106" s="16"/>
      <x:c r="U106" s="16"/>
      <x:c r="V106" s="16"/>
      <x:c r="W106" s="16"/>
      <x:c r="X106" s="16"/>
      <x:c r="Y106" s="16"/>
    </x:row>
    <x:row r="107">
      <x:c r="A107" s="16"/>
      <x:c r="B107" s="16"/>
      <x:c r="C107" s="16"/>
      <x:c r="D107" s="16"/>
      <x:c r="E107" s="16"/>
      <x:c r="F107" s="16"/>
      <x:c r="G107" s="16"/>
      <x:c r="H107" s="16"/>
      <x:c r="I107" s="16"/>
      <x:c r="J107" s="16"/>
      <x:c r="K107" s="16"/>
      <x:c r="L107" s="16"/>
      <x:c r="M107" s="16"/>
      <x:c r="N107" s="16"/>
      <x:c r="O107" s="16"/>
      <x:c r="P107" s="16"/>
      <x:c r="Q107" s="16"/>
      <x:c r="R107" s="16"/>
      <x:c r="S107" s="16"/>
      <x:c r="T107" s="16"/>
      <x:c r="U107" s="16"/>
      <x:c r="V107" s="16"/>
      <x:c r="W107" s="16"/>
      <x:c r="X107" s="16"/>
      <x:c r="Y107" s="16"/>
    </x:row>
    <x:row r="108">
      <x:c r="A108" s="16"/>
      <x:c r="B108" s="16"/>
      <x:c r="C108" s="16"/>
      <x:c r="D108" s="16"/>
      <x:c r="E108" s="16"/>
      <x:c r="F108" s="16"/>
      <x:c r="G108" s="16"/>
      <x:c r="H108" s="16"/>
      <x:c r="I108" s="16"/>
      <x:c r="J108" s="16"/>
      <x:c r="K108" s="16"/>
      <x:c r="L108" s="16"/>
      <x:c r="M108" s="16"/>
      <x:c r="N108" s="16"/>
      <x:c r="O108" s="16"/>
      <x:c r="P108" s="16"/>
      <x:c r="Q108" s="16"/>
      <x:c r="R108" s="16"/>
      <x:c r="S108" s="16"/>
      <x:c r="T108" s="16"/>
      <x:c r="U108" s="16"/>
      <x:c r="V108" s="16"/>
      <x:c r="W108" s="16"/>
      <x:c r="X108" s="16"/>
      <x:c r="Y108" s="16"/>
    </x:row>
    <x:row r="109">
      <x:c r="A109" s="16"/>
      <x:c r="B109" s="16"/>
      <x:c r="C109" s="16"/>
      <x:c r="D109" s="16"/>
      <x:c r="E109" s="16"/>
      <x:c r="F109" s="16"/>
      <x:c r="G109" s="16"/>
      <x:c r="H109" s="16"/>
      <x:c r="I109" s="16"/>
      <x:c r="J109" s="16"/>
      <x:c r="K109" s="16"/>
      <x:c r="L109" s="16"/>
      <x:c r="M109" s="16"/>
      <x:c r="N109" s="16"/>
      <x:c r="O109" s="16"/>
      <x:c r="P109" s="16"/>
      <x:c r="Q109" s="16"/>
      <x:c r="R109" s="16"/>
      <x:c r="S109" s="16"/>
      <x:c r="T109" s="16"/>
      <x:c r="U109" s="16"/>
      <x:c r="V109" s="16"/>
      <x:c r="W109" s="16"/>
      <x:c r="X109" s="16"/>
      <x:c r="Y109" s="16"/>
    </x:row>
    <x:row r="110">
      <x:c r="A110" s="16"/>
      <x:c r="B110" s="16"/>
      <x:c r="C110" s="16"/>
      <x:c r="D110" s="16"/>
      <x:c r="E110" s="16"/>
      <x:c r="F110" s="16"/>
      <x:c r="G110" s="16"/>
      <x:c r="H110" s="16"/>
      <x:c r="I110" s="16"/>
      <x:c r="J110" s="16"/>
      <x:c r="K110" s="16"/>
      <x:c r="L110" s="16"/>
      <x:c r="M110" s="16"/>
      <x:c r="N110" s="16"/>
      <x:c r="O110" s="16"/>
      <x:c r="P110" s="16"/>
      <x:c r="Q110" s="16"/>
      <x:c r="R110" s="16"/>
      <x:c r="S110" s="16"/>
      <x:c r="T110" s="16"/>
      <x:c r="U110" s="16"/>
      <x:c r="V110" s="16"/>
      <x:c r="W110" s="16"/>
      <x:c r="X110" s="16"/>
      <x:c r="Y110" s="16"/>
    </x:row>
    <x:row r="111">
      <x:c r="A111" s="16"/>
      <x:c r="B111" s="16"/>
      <x:c r="C111" s="16"/>
      <x:c r="D111" s="16"/>
      <x:c r="E111" s="16"/>
      <x:c r="F111" s="16"/>
      <x:c r="G111" s="16"/>
      <x:c r="H111" s="16"/>
      <x:c r="I111" s="16"/>
      <x:c r="J111" s="16"/>
      <x:c r="K111" s="16"/>
      <x:c r="L111" s="16"/>
      <x:c r="M111" s="16"/>
      <x:c r="N111" s="16"/>
      <x:c r="O111" s="16"/>
      <x:c r="P111" s="16"/>
      <x:c r="Q111" s="16"/>
      <x:c r="R111" s="16"/>
      <x:c r="S111" s="16"/>
      <x:c r="T111" s="16"/>
      <x:c r="U111" s="16"/>
      <x:c r="V111" s="16"/>
      <x:c r="W111" s="16"/>
      <x:c r="X111" s="16"/>
      <x:c r="Y111" s="16"/>
    </x:row>
    <x:row r="112">
      <x:c r="A112" s="16"/>
      <x:c r="B112" s="16"/>
      <x:c r="C112" s="16"/>
      <x:c r="D112" s="16"/>
      <x:c r="E112" s="16"/>
      <x:c r="F112" s="16"/>
      <x:c r="G112" s="16"/>
      <x:c r="H112" s="16"/>
      <x:c r="I112" s="16"/>
      <x:c r="J112" s="16"/>
      <x:c r="K112" s="16"/>
      <x:c r="L112" s="16"/>
      <x:c r="M112" s="16"/>
      <x:c r="N112" s="16"/>
      <x:c r="O112" s="16"/>
      <x:c r="P112" s="16"/>
      <x:c r="Q112" s="16"/>
      <x:c r="R112" s="16"/>
      <x:c r="S112" s="16"/>
      <x:c r="T112" s="16"/>
      <x:c r="U112" s="16"/>
      <x:c r="V112" s="16"/>
      <x:c r="W112" s="16"/>
      <x:c r="X112" s="16"/>
      <x:c r="Y112" s="16"/>
    </x:row>
    <x:row r="113">
      <x:c r="A113" s="16"/>
      <x:c r="B113" s="16"/>
      <x:c r="C113" s="16"/>
      <x:c r="D113" s="16"/>
      <x:c r="E113" s="16"/>
      <x:c r="F113" s="16"/>
      <x:c r="G113" s="16"/>
      <x:c r="H113" s="16"/>
      <x:c r="I113" s="16"/>
      <x:c r="J113" s="16"/>
      <x:c r="K113" s="16"/>
      <x:c r="L113" s="16"/>
      <x:c r="M113" s="16"/>
      <x:c r="N113" s="16"/>
      <x:c r="O113" s="16"/>
      <x:c r="P113" s="16"/>
      <x:c r="Q113" s="16"/>
      <x:c r="R113" s="16"/>
      <x:c r="S113" s="16"/>
      <x:c r="T113" s="16"/>
      <x:c r="U113" s="16"/>
      <x:c r="V113" s="16"/>
      <x:c r="W113" s="16"/>
      <x:c r="X113" s="16"/>
      <x:c r="Y113" s="16"/>
    </x:row>
    <x:row r="114">
      <x:c r="A114" s="16"/>
      <x:c r="B114" s="16"/>
      <x:c r="C114" s="16"/>
      <x:c r="D114" s="16"/>
      <x:c r="E114" s="16"/>
      <x:c r="F114" s="16"/>
      <x:c r="G114" s="16"/>
      <x:c r="H114" s="16"/>
      <x:c r="I114" s="16"/>
      <x:c r="J114" s="16"/>
      <x:c r="K114" s="16"/>
      <x:c r="L114" s="16"/>
      <x:c r="M114" s="16"/>
      <x:c r="N114" s="16"/>
      <x:c r="O114" s="16"/>
      <x:c r="P114" s="16"/>
      <x:c r="Q114" s="16"/>
      <x:c r="R114" s="16"/>
      <x:c r="S114" s="16"/>
      <x:c r="T114" s="16"/>
      <x:c r="U114" s="16"/>
      <x:c r="V114" s="16"/>
      <x:c r="W114" s="16"/>
      <x:c r="X114" s="16"/>
      <x:c r="Y114" s="16"/>
    </x:row>
    <x:row r="115">
      <x:c r="A115" s="16"/>
      <x:c r="B115" s="16"/>
      <x:c r="C115" s="16"/>
      <x:c r="D115" s="16"/>
      <x:c r="E115" s="16"/>
      <x:c r="F115" s="16"/>
      <x:c r="G115" s="16"/>
      <x:c r="H115" s="16"/>
      <x:c r="I115" s="16"/>
      <x:c r="J115" s="16"/>
      <x:c r="K115" s="16"/>
      <x:c r="L115" s="16"/>
      <x:c r="M115" s="16"/>
      <x:c r="N115" s="16"/>
      <x:c r="O115" s="16"/>
      <x:c r="P115" s="16"/>
      <x:c r="Q115" s="16"/>
      <x:c r="R115" s="16"/>
      <x:c r="S115" s="16"/>
      <x:c r="T115" s="16"/>
      <x:c r="U115" s="16"/>
      <x:c r="V115" s="16"/>
      <x:c r="W115" s="16"/>
      <x:c r="X115" s="16"/>
      <x:c r="Y115" s="16"/>
    </x:row>
    <x:row r="116">
      <x:c r="A116" s="16"/>
      <x:c r="B116" s="16"/>
      <x:c r="C116" s="16"/>
      <x:c r="D116" s="16"/>
      <x:c r="E116" s="16"/>
      <x:c r="F116" s="16"/>
      <x:c r="G116" s="16"/>
      <x:c r="H116" s="16"/>
      <x:c r="I116" s="16"/>
      <x:c r="J116" s="16"/>
      <x:c r="K116" s="16"/>
      <x:c r="L116" s="16"/>
      <x:c r="M116" s="16"/>
      <x:c r="N116" s="16"/>
      <x:c r="O116" s="16"/>
      <x:c r="P116" s="16"/>
      <x:c r="Q116" s="16"/>
      <x:c r="R116" s="16"/>
      <x:c r="S116" s="16"/>
      <x:c r="T116" s="16"/>
      <x:c r="U116" s="16"/>
      <x:c r="V116" s="16"/>
      <x:c r="W116" s="16"/>
      <x:c r="X116" s="16"/>
      <x:c r="Y116" s="16"/>
    </x:row>
    <x:row r="117">
      <x:c r="A117" s="16"/>
      <x:c r="B117" s="16"/>
      <x:c r="C117" s="16"/>
      <x:c r="D117" s="16"/>
      <x:c r="E117" s="16"/>
      <x:c r="F117" s="16"/>
      <x:c r="G117" s="16"/>
      <x:c r="H117" s="16"/>
      <x:c r="I117" s="16"/>
      <x:c r="J117" s="16"/>
      <x:c r="K117" s="16"/>
      <x:c r="L117" s="16"/>
      <x:c r="M117" s="16"/>
      <x:c r="N117" s="16"/>
      <x:c r="O117" s="16"/>
      <x:c r="P117" s="16"/>
      <x:c r="Q117" s="16"/>
      <x:c r="R117" s="16"/>
      <x:c r="S117" s="16"/>
      <x:c r="T117" s="16"/>
      <x:c r="U117" s="16"/>
      <x:c r="V117" s="16"/>
      <x:c r="W117" s="16"/>
      <x:c r="X117" s="16"/>
      <x:c r="Y117" s="16"/>
    </x:row>
    <x:row r="118">
      <x:c r="A118" s="16"/>
      <x:c r="B118" s="16"/>
      <x:c r="C118" s="16"/>
      <x:c r="D118" s="16"/>
      <x:c r="E118" s="16"/>
      <x:c r="F118" s="16"/>
      <x:c r="G118" s="16"/>
      <x:c r="H118" s="16"/>
      <x:c r="I118" s="16"/>
      <x:c r="J118" s="16"/>
      <x:c r="K118" s="16"/>
      <x:c r="L118" s="16"/>
      <x:c r="M118" s="16"/>
      <x:c r="N118" s="16"/>
      <x:c r="O118" s="16"/>
      <x:c r="P118" s="16"/>
      <x:c r="Q118" s="16"/>
      <x:c r="R118" s="16"/>
      <x:c r="S118" s="16"/>
      <x:c r="T118" s="16"/>
      <x:c r="U118" s="16"/>
      <x:c r="V118" s="16"/>
      <x:c r="W118" s="16"/>
      <x:c r="X118" s="16"/>
      <x:c r="Y118" s="16"/>
    </x:row>
    <x:row r="119">
      <x:c r="A119" s="16"/>
      <x:c r="B119" s="16"/>
      <x:c r="C119" s="16"/>
      <x:c r="D119" s="16"/>
      <x:c r="E119" s="16"/>
      <x:c r="F119" s="16"/>
      <x:c r="G119" s="16"/>
      <x:c r="H119" s="16"/>
      <x:c r="I119" s="16"/>
      <x:c r="J119" s="16"/>
      <x:c r="K119" s="16"/>
      <x:c r="L119" s="16"/>
      <x:c r="M119" s="16"/>
      <x:c r="N119" s="16"/>
      <x:c r="O119" s="16"/>
      <x:c r="P119" s="16"/>
      <x:c r="Q119" s="16"/>
      <x:c r="R119" s="16"/>
      <x:c r="S119" s="16"/>
      <x:c r="T119" s="16"/>
      <x:c r="U119" s="16"/>
      <x:c r="V119" s="16"/>
      <x:c r="W119" s="16"/>
      <x:c r="X119" s="16"/>
      <x:c r="Y119" s="16"/>
    </x:row>
    <x:row r="120">
      <x:c r="A120" s="16"/>
      <x:c r="B120" s="16"/>
      <x:c r="C120" s="16"/>
      <x:c r="D120" s="16"/>
      <x:c r="E120" s="16"/>
      <x:c r="F120" s="16"/>
      <x:c r="G120" s="16"/>
      <x:c r="H120" s="16"/>
      <x:c r="I120" s="16"/>
      <x:c r="J120" s="16"/>
      <x:c r="K120" s="16"/>
      <x:c r="L120" s="16"/>
      <x:c r="M120" s="16"/>
      <x:c r="N120" s="16"/>
      <x:c r="O120" s="16"/>
      <x:c r="P120" s="16"/>
      <x:c r="Q120" s="16"/>
      <x:c r="R120" s="16"/>
      <x:c r="S120" s="16"/>
      <x:c r="T120" s="16"/>
      <x:c r="U120" s="16"/>
      <x:c r="V120" s="16"/>
      <x:c r="W120" s="16"/>
      <x:c r="X120" s="16"/>
      <x:c r="Y120" s="16"/>
    </x:row>
    <x:row r="121">
      <x:c r="A121" s="16"/>
      <x:c r="B121" s="16"/>
      <x:c r="C121" s="16"/>
      <x:c r="D121" s="16"/>
      <x:c r="E121" s="16"/>
      <x:c r="F121" s="16"/>
      <x:c r="G121" s="16"/>
      <x:c r="H121" s="16"/>
      <x:c r="I121" s="16"/>
      <x:c r="J121" s="16"/>
      <x:c r="K121" s="16"/>
      <x:c r="L121" s="16"/>
      <x:c r="M121" s="16"/>
      <x:c r="N121" s="16"/>
      <x:c r="O121" s="16"/>
      <x:c r="P121" s="16"/>
      <x:c r="Q121" s="16"/>
      <x:c r="R121" s="16"/>
      <x:c r="S121" s="16"/>
      <x:c r="T121" s="16"/>
      <x:c r="U121" s="16"/>
      <x:c r="V121" s="16"/>
      <x:c r="W121" s="16"/>
      <x:c r="X121" s="16"/>
      <x:c r="Y121" s="16"/>
    </x:row>
    <x:row r="122">
      <x:c r="A122" s="16"/>
      <x:c r="B122" s="16"/>
      <x:c r="C122" s="16"/>
      <x:c r="D122" s="16"/>
      <x:c r="E122" s="16"/>
      <x:c r="F122" s="16"/>
      <x:c r="G122" s="16"/>
      <x:c r="H122" s="16"/>
      <x:c r="I122" s="16"/>
      <x:c r="J122" s="16"/>
      <x:c r="K122" s="16"/>
      <x:c r="L122" s="16"/>
      <x:c r="M122" s="16"/>
      <x:c r="N122" s="16"/>
      <x:c r="O122" s="16"/>
      <x:c r="P122" s="16"/>
      <x:c r="Q122" s="16"/>
      <x:c r="R122" s="16"/>
      <x:c r="S122" s="16"/>
      <x:c r="T122" s="16"/>
      <x:c r="U122" s="16"/>
      <x:c r="V122" s="16"/>
      <x:c r="W122" s="16"/>
      <x:c r="X122" s="16"/>
      <x:c r="Y122" s="16"/>
    </x:row>
    <x:row r="123">
      <x:c r="A123" s="16"/>
      <x:c r="B123" s="16"/>
      <x:c r="C123" s="16"/>
      <x:c r="D123" s="16"/>
      <x:c r="E123" s="16"/>
      <x:c r="F123" s="16"/>
      <x:c r="G123" s="16"/>
      <x:c r="H123" s="16"/>
      <x:c r="I123" s="16"/>
      <x:c r="J123" s="16"/>
      <x:c r="K123" s="16"/>
      <x:c r="L123" s="16"/>
      <x:c r="M123" s="16"/>
      <x:c r="N123" s="16"/>
      <x:c r="O123" s="16"/>
      <x:c r="P123" s="16"/>
      <x:c r="Q123" s="16"/>
      <x:c r="R123" s="16"/>
      <x:c r="S123" s="16"/>
      <x:c r="T123" s="16"/>
      <x:c r="U123" s="16"/>
      <x:c r="V123" s="16"/>
      <x:c r="W123" s="16"/>
      <x:c r="X123" s="16"/>
      <x:c r="Y123" s="16"/>
    </x:row>
    <x:row r="124">
      <x:c r="A124" s="16"/>
      <x:c r="B124" s="16"/>
      <x:c r="C124" s="16"/>
      <x:c r="D124" s="16"/>
      <x:c r="E124" s="16"/>
      <x:c r="F124" s="16"/>
      <x:c r="G124" s="16"/>
      <x:c r="H124" s="16"/>
      <x:c r="I124" s="16"/>
      <x:c r="J124" s="16"/>
      <x:c r="K124" s="16"/>
      <x:c r="L124" s="16"/>
      <x:c r="M124" s="16"/>
      <x:c r="N124" s="16"/>
      <x:c r="O124" s="16"/>
      <x:c r="P124" s="16"/>
      <x:c r="Q124" s="16"/>
      <x:c r="R124" s="16"/>
      <x:c r="S124" s="16"/>
      <x:c r="T124" s="16"/>
      <x:c r="U124" s="16"/>
      <x:c r="V124" s="16"/>
      <x:c r="W124" s="16"/>
      <x:c r="X124" s="16"/>
      <x:c r="Y124" s="16"/>
    </x:row>
    <x:row r="125">
      <x:c r="A125" s="16"/>
      <x:c r="B125" s="16"/>
      <x:c r="C125" s="16"/>
      <x:c r="D125" s="16"/>
      <x:c r="E125" s="16"/>
      <x:c r="F125" s="16"/>
      <x:c r="G125" s="16"/>
      <x:c r="H125" s="16"/>
      <x:c r="I125" s="16"/>
      <x:c r="J125" s="16"/>
      <x:c r="K125" s="16"/>
      <x:c r="L125" s="16"/>
      <x:c r="M125" s="16"/>
      <x:c r="N125" s="16"/>
      <x:c r="O125" s="16"/>
      <x:c r="P125" s="16"/>
      <x:c r="Q125" s="16"/>
      <x:c r="R125" s="16"/>
      <x:c r="S125" s="16"/>
      <x:c r="T125" s="16"/>
      <x:c r="U125" s="16"/>
      <x:c r="V125" s="16"/>
      <x:c r="W125" s="16"/>
      <x:c r="X125" s="16"/>
      <x:c r="Y125" s="16"/>
    </x:row>
    <x:row r="126">
      <x:c r="A126" s="16"/>
      <x:c r="B126" s="16"/>
      <x:c r="C126" s="16"/>
      <x:c r="D126" s="16"/>
      <x:c r="E126" s="16"/>
      <x:c r="F126" s="16"/>
      <x:c r="G126" s="16"/>
      <x:c r="H126" s="16"/>
      <x:c r="I126" s="16"/>
      <x:c r="J126" s="16"/>
      <x:c r="K126" s="16"/>
      <x:c r="L126" s="16"/>
      <x:c r="M126" s="16"/>
      <x:c r="N126" s="16"/>
      <x:c r="O126" s="16"/>
      <x:c r="P126" s="16"/>
      <x:c r="Q126" s="16"/>
      <x:c r="R126" s="16"/>
      <x:c r="S126" s="16"/>
      <x:c r="T126" s="16"/>
      <x:c r="U126" s="16"/>
      <x:c r="V126" s="16"/>
      <x:c r="W126" s="16"/>
      <x:c r="X126" s="16"/>
      <x:c r="Y126" s="16"/>
    </x:row>
    <x:row r="127">
      <x:c r="A127" s="16"/>
      <x:c r="B127" s="16"/>
      <x:c r="C127" s="16"/>
      <x:c r="D127" s="16"/>
      <x:c r="E127" s="16"/>
      <x:c r="F127" s="16"/>
      <x:c r="G127" s="16"/>
      <x:c r="H127" s="16"/>
      <x:c r="I127" s="16"/>
      <x:c r="J127" s="16"/>
      <x:c r="K127" s="16"/>
      <x:c r="L127" s="16"/>
      <x:c r="M127" s="16"/>
      <x:c r="N127" s="16"/>
      <x:c r="O127" s="16"/>
      <x:c r="P127" s="16"/>
      <x:c r="Q127" s="16"/>
      <x:c r="R127" s="16"/>
      <x:c r="S127" s="16"/>
      <x:c r="T127" s="16"/>
      <x:c r="U127" s="16"/>
      <x:c r="V127" s="16"/>
      <x:c r="W127" s="16"/>
      <x:c r="X127" s="16"/>
      <x:c r="Y127" s="16"/>
    </x:row>
    <x:row r="128">
      <x:c r="A128" s="16"/>
      <x:c r="B128" s="16"/>
      <x:c r="C128" s="16"/>
      <x:c r="D128" s="16"/>
      <x:c r="E128" s="16"/>
      <x:c r="F128" s="16"/>
      <x:c r="G128" s="16"/>
      <x:c r="H128" s="16"/>
      <x:c r="I128" s="16"/>
      <x:c r="J128" s="16"/>
      <x:c r="K128" s="16"/>
      <x:c r="L128" s="16"/>
      <x:c r="M128" s="16"/>
      <x:c r="N128" s="16"/>
      <x:c r="O128" s="16"/>
      <x:c r="P128" s="16"/>
      <x:c r="Q128" s="16"/>
      <x:c r="R128" s="16"/>
      <x:c r="S128" s="16"/>
      <x:c r="T128" s="16"/>
      <x:c r="U128" s="16"/>
      <x:c r="V128" s="16"/>
      <x:c r="W128" s="16"/>
      <x:c r="X128" s="16"/>
      <x:c r="Y128" s="16"/>
    </x:row>
    <x:row r="129">
      <x:c r="A129" s="16"/>
      <x:c r="B129" s="16"/>
      <x:c r="C129" s="16"/>
      <x:c r="D129" s="16"/>
      <x:c r="E129" s="16"/>
      <x:c r="F129" s="16"/>
      <x:c r="G129" s="16"/>
      <x:c r="H129" s="16"/>
      <x:c r="I129" s="16"/>
      <x:c r="J129" s="16"/>
      <x:c r="K129" s="16"/>
      <x:c r="L129" s="16"/>
      <x:c r="M129" s="16"/>
      <x:c r="N129" s="16"/>
      <x:c r="O129" s="16"/>
      <x:c r="P129" s="16"/>
      <x:c r="Q129" s="16"/>
      <x:c r="R129" s="16"/>
      <x:c r="S129" s="16"/>
      <x:c r="T129" s="16"/>
      <x:c r="U129" s="16"/>
      <x:c r="V129" s="16"/>
      <x:c r="W129" s="16"/>
      <x:c r="X129" s="16"/>
      <x:c r="Y129" s="16"/>
    </x:row>
    <x:row r="130">
      <x:c r="A130" s="16"/>
      <x:c r="B130" s="16"/>
      <x:c r="C130" s="16"/>
      <x:c r="D130" s="16"/>
      <x:c r="E130" s="16"/>
      <x:c r="F130" s="16"/>
      <x:c r="G130" s="16"/>
      <x:c r="H130" s="16"/>
      <x:c r="I130" s="16"/>
      <x:c r="J130" s="16"/>
      <x:c r="K130" s="16"/>
      <x:c r="L130" s="16"/>
      <x:c r="M130" s="16"/>
      <x:c r="N130" s="16"/>
      <x:c r="O130" s="16"/>
      <x:c r="P130" s="16"/>
      <x:c r="Q130" s="16"/>
      <x:c r="R130" s="16"/>
      <x:c r="S130" s="16"/>
      <x:c r="T130" s="16"/>
      <x:c r="U130" s="16"/>
      <x:c r="V130" s="16"/>
      <x:c r="W130" s="16"/>
      <x:c r="X130" s="16"/>
      <x:c r="Y130" s="16"/>
    </x:row>
    <x:row r="131">
      <x:c r="A131" s="16"/>
      <x:c r="B131" s="16"/>
      <x:c r="C131" s="16"/>
      <x:c r="D131" s="16"/>
      <x:c r="E131" s="16"/>
      <x:c r="F131" s="16"/>
      <x:c r="G131" s="16"/>
      <x:c r="H131" s="16"/>
      <x:c r="I131" s="16"/>
      <x:c r="J131" s="16"/>
      <x:c r="K131" s="16"/>
      <x:c r="L131" s="16"/>
      <x:c r="M131" s="16"/>
      <x:c r="N131" s="16"/>
      <x:c r="O131" s="16"/>
      <x:c r="P131" s="16"/>
      <x:c r="Q131" s="16"/>
      <x:c r="R131" s="16"/>
      <x:c r="S131" s="16"/>
      <x:c r="T131" s="16"/>
      <x:c r="U131" s="16"/>
      <x:c r="V131" s="16"/>
      <x:c r="W131" s="16"/>
      <x:c r="X131" s="16"/>
      <x:c r="Y131" s="16"/>
    </x:row>
    <x:row r="132">
      <x:c r="A132" s="16"/>
      <x:c r="B132" s="16"/>
      <x:c r="C132" s="16"/>
      <x:c r="D132" s="16"/>
      <x:c r="E132" s="16"/>
      <x:c r="F132" s="16"/>
      <x:c r="G132" s="16"/>
      <x:c r="H132" s="16"/>
      <x:c r="I132" s="16"/>
      <x:c r="J132" s="16"/>
      <x:c r="K132" s="16"/>
      <x:c r="L132" s="16"/>
      <x:c r="M132" s="16"/>
      <x:c r="N132" s="16"/>
      <x:c r="O132" s="16"/>
      <x:c r="P132" s="16"/>
      <x:c r="Q132" s="16"/>
      <x:c r="R132" s="16"/>
      <x:c r="S132" s="16"/>
      <x:c r="T132" s="16"/>
      <x:c r="U132" s="16"/>
      <x:c r="V132" s="16"/>
      <x:c r="W132" s="16"/>
      <x:c r="X132" s="16"/>
      <x:c r="Y132" s="16"/>
    </x:row>
    <x:row r="133">
      <x:c r="A133" s="16"/>
      <x:c r="B133" s="16"/>
      <x:c r="C133" s="16"/>
      <x:c r="D133" s="16"/>
      <x:c r="E133" s="16"/>
      <x:c r="F133" s="16"/>
      <x:c r="G133" s="16"/>
      <x:c r="H133" s="16"/>
      <x:c r="I133" s="16"/>
      <x:c r="J133" s="16"/>
      <x:c r="K133" s="16"/>
      <x:c r="L133" s="16"/>
      <x:c r="M133" s="16"/>
      <x:c r="N133" s="16"/>
      <x:c r="O133" s="16"/>
      <x:c r="P133" s="16"/>
      <x:c r="Q133" s="16"/>
      <x:c r="R133" s="16"/>
      <x:c r="S133" s="16"/>
      <x:c r="T133" s="16"/>
      <x:c r="U133" s="16"/>
      <x:c r="V133" s="16"/>
      <x:c r="W133" s="16"/>
      <x:c r="X133" s="16"/>
      <x:c r="Y133" s="16"/>
    </x:row>
    <x:row r="134">
      <x:c r="A134" s="16"/>
      <x:c r="B134" s="16"/>
      <x:c r="C134" s="16"/>
      <x:c r="D134" s="16"/>
      <x:c r="E134" s="16"/>
      <x:c r="F134" s="16"/>
      <x:c r="G134" s="16"/>
      <x:c r="H134" s="16"/>
      <x:c r="I134" s="16"/>
      <x:c r="J134" s="16"/>
      <x:c r="K134" s="16"/>
      <x:c r="L134" s="16"/>
      <x:c r="M134" s="16"/>
      <x:c r="N134" s="16"/>
      <x:c r="O134" s="16"/>
      <x:c r="P134" s="16"/>
      <x:c r="Q134" s="16"/>
      <x:c r="R134" s="16"/>
      <x:c r="S134" s="16"/>
      <x:c r="T134" s="16"/>
      <x:c r="U134" s="16"/>
      <x:c r="V134" s="16"/>
      <x:c r="W134" s="16"/>
      <x:c r="X134" s="16"/>
      <x:c r="Y134" s="16"/>
    </x:row>
    <x:row r="135">
      <x:c r="A135" s="16"/>
      <x:c r="B135" s="16"/>
      <x:c r="C135" s="16"/>
      <x:c r="D135" s="16"/>
      <x:c r="E135" s="16"/>
      <x:c r="F135" s="16"/>
      <x:c r="G135" s="16"/>
      <x:c r="H135" s="16"/>
      <x:c r="I135" s="16"/>
      <x:c r="J135" s="16"/>
      <x:c r="K135" s="16"/>
      <x:c r="L135" s="16"/>
      <x:c r="M135" s="16"/>
      <x:c r="N135" s="16"/>
      <x:c r="O135" s="16"/>
      <x:c r="P135" s="16"/>
      <x:c r="Q135" s="16"/>
      <x:c r="R135" s="16"/>
      <x:c r="S135" s="16"/>
      <x:c r="T135" s="16"/>
      <x:c r="U135" s="16"/>
      <x:c r="V135" s="16"/>
      <x:c r="W135" s="16"/>
      <x:c r="X135" s="16"/>
      <x:c r="Y135" s="16"/>
    </x:row>
    <x:row r="136">
      <x:c r="A136" s="16"/>
      <x:c r="B136" s="16"/>
      <x:c r="C136" s="16"/>
      <x:c r="D136" s="16"/>
      <x:c r="E136" s="16"/>
      <x:c r="F136" s="16"/>
      <x:c r="G136" s="16"/>
      <x:c r="H136" s="16"/>
      <x:c r="I136" s="16"/>
      <x:c r="J136" s="16"/>
      <x:c r="K136" s="16"/>
      <x:c r="L136" s="16"/>
      <x:c r="M136" s="16"/>
      <x:c r="N136" s="16"/>
      <x:c r="O136" s="16"/>
      <x:c r="P136" s="16"/>
      <x:c r="Q136" s="16"/>
      <x:c r="R136" s="16"/>
      <x:c r="S136" s="16"/>
      <x:c r="T136" s="16"/>
      <x:c r="U136" s="16"/>
      <x:c r="V136" s="16"/>
      <x:c r="W136" s="16"/>
      <x:c r="X136" s="16"/>
      <x:c r="Y136" s="16"/>
    </x:row>
    <x:row r="137">
      <x:c r="A137" s="16"/>
      <x:c r="B137" s="16"/>
      <x:c r="C137" s="16"/>
      <x:c r="D137" s="16"/>
      <x:c r="E137" s="16"/>
      <x:c r="F137" s="16"/>
      <x:c r="G137" s="16"/>
      <x:c r="H137" s="16"/>
      <x:c r="I137" s="16"/>
      <x:c r="J137" s="16"/>
      <x:c r="K137" s="16"/>
      <x:c r="L137" s="16"/>
      <x:c r="M137" s="16"/>
      <x:c r="N137" s="16"/>
      <x:c r="O137" s="16"/>
      <x:c r="P137" s="16"/>
      <x:c r="Q137" s="16"/>
      <x:c r="R137" s="16"/>
      <x:c r="S137" s="16"/>
      <x:c r="T137" s="16"/>
      <x:c r="U137" s="16"/>
      <x:c r="V137" s="16"/>
      <x:c r="W137" s="16"/>
      <x:c r="X137" s="16"/>
      <x:c r="Y137" s="16"/>
    </x:row>
    <x:row r="138">
      <x:c r="A138" s="16"/>
      <x:c r="B138" s="16"/>
      <x:c r="C138" s="16"/>
      <x:c r="D138" s="16"/>
      <x:c r="E138" s="16"/>
      <x:c r="F138" s="16"/>
      <x:c r="G138" s="16"/>
      <x:c r="H138" s="16"/>
      <x:c r="I138" s="16"/>
      <x:c r="J138" s="16"/>
      <x:c r="K138" s="16"/>
      <x:c r="L138" s="16"/>
      <x:c r="M138" s="16"/>
      <x:c r="N138" s="16"/>
      <x:c r="O138" s="16"/>
      <x:c r="P138" s="16"/>
      <x:c r="Q138" s="16"/>
      <x:c r="R138" s="16"/>
      <x:c r="S138" s="16"/>
      <x:c r="T138" s="16"/>
      <x:c r="U138" s="16"/>
      <x:c r="V138" s="16"/>
      <x:c r="W138" s="16"/>
      <x:c r="X138" s="16"/>
      <x:c r="Y138" s="16"/>
    </x:row>
    <x:row r="139">
      <x:c r="A139" s="16"/>
      <x:c r="B139" s="16"/>
      <x:c r="C139" s="16"/>
      <x:c r="D139" s="16"/>
      <x:c r="E139" s="16"/>
      <x:c r="F139" s="16"/>
      <x:c r="G139" s="16"/>
      <x:c r="H139" s="16"/>
      <x:c r="I139" s="16"/>
      <x:c r="J139" s="16"/>
      <x:c r="K139" s="16"/>
      <x:c r="L139" s="16"/>
      <x:c r="M139" s="16"/>
      <x:c r="N139" s="16"/>
      <x:c r="O139" s="16"/>
      <x:c r="P139" s="16"/>
      <x:c r="Q139" s="16"/>
      <x:c r="R139" s="16"/>
      <x:c r="S139" s="16"/>
      <x:c r="T139" s="16"/>
      <x:c r="U139" s="16"/>
      <x:c r="V139" s="16"/>
      <x:c r="W139" s="16"/>
      <x:c r="X139" s="16"/>
      <x:c r="Y139" s="16"/>
    </x:row>
    <x:row r="140">
      <x:c r="A140" s="16"/>
      <x:c r="B140" s="16"/>
      <x:c r="C140" s="16"/>
      <x:c r="D140" s="16"/>
      <x:c r="E140" s="16"/>
      <x:c r="F140" s="16"/>
      <x:c r="G140" s="16"/>
      <x:c r="H140" s="16"/>
      <x:c r="I140" s="16"/>
      <x:c r="J140" s="16"/>
      <x:c r="K140" s="16"/>
      <x:c r="L140" s="16"/>
      <x:c r="M140" s="16"/>
      <x:c r="N140" s="16"/>
      <x:c r="O140" s="16"/>
      <x:c r="P140" s="16"/>
      <x:c r="Q140" s="16"/>
      <x:c r="R140" s="16"/>
      <x:c r="S140" s="16"/>
      <x:c r="T140" s="16"/>
      <x:c r="U140" s="16"/>
      <x:c r="V140" s="16"/>
      <x:c r="W140" s="16"/>
      <x:c r="X140" s="16"/>
      <x:c r="Y140" s="16"/>
    </x:row>
    <x:row r="141">
      <x:c r="A141" s="16"/>
      <x:c r="B141" s="16"/>
      <x:c r="C141" s="16"/>
      <x:c r="D141" s="16"/>
      <x:c r="E141" s="16"/>
      <x:c r="F141" s="16"/>
      <x:c r="G141" s="16"/>
      <x:c r="H141" s="16"/>
      <x:c r="I141" s="16"/>
      <x:c r="J141" s="16"/>
      <x:c r="K141" s="16"/>
      <x:c r="L141" s="16"/>
      <x:c r="M141" s="16"/>
      <x:c r="N141" s="16"/>
      <x:c r="O141" s="16"/>
      <x:c r="P141" s="16"/>
      <x:c r="Q141" s="16"/>
      <x:c r="R141" s="16"/>
      <x:c r="S141" s="16"/>
      <x:c r="T141" s="16"/>
      <x:c r="U141" s="16"/>
      <x:c r="V141" s="16"/>
      <x:c r="W141" s="16"/>
      <x:c r="X141" s="16"/>
      <x:c r="Y141" s="16"/>
    </x:row>
    <x:row r="142">
      <x:c r="A142" s="16"/>
      <x:c r="B142" s="16"/>
      <x:c r="C142" s="16"/>
      <x:c r="D142" s="16"/>
      <x:c r="E142" s="16"/>
      <x:c r="F142" s="16"/>
      <x:c r="G142" s="16"/>
      <x:c r="H142" s="16"/>
      <x:c r="I142" s="16"/>
      <x:c r="J142" s="16"/>
      <x:c r="K142" s="16"/>
      <x:c r="L142" s="16"/>
      <x:c r="M142" s="16"/>
      <x:c r="N142" s="16"/>
      <x:c r="O142" s="16"/>
      <x:c r="P142" s="16"/>
      <x:c r="Q142" s="16"/>
      <x:c r="R142" s="16"/>
      <x:c r="S142" s="16"/>
      <x:c r="T142" s="16"/>
      <x:c r="U142" s="16"/>
      <x:c r="V142" s="16"/>
      <x:c r="W142" s="16"/>
      <x:c r="X142" s="16"/>
      <x:c r="Y142" s="16"/>
    </x:row>
    <x:row r="143">
      <x:c r="A143" s="16"/>
      <x:c r="B143" s="16"/>
      <x:c r="C143" s="16"/>
      <x:c r="D143" s="16"/>
      <x:c r="E143" s="16"/>
      <x:c r="F143" s="16"/>
      <x:c r="G143" s="16"/>
      <x:c r="H143" s="16"/>
      <x:c r="I143" s="16"/>
      <x:c r="J143" s="16"/>
      <x:c r="K143" s="16"/>
      <x:c r="L143" s="16"/>
      <x:c r="M143" s="16"/>
      <x:c r="N143" s="16"/>
      <x:c r="O143" s="16"/>
      <x:c r="P143" s="16"/>
      <x:c r="Q143" s="16"/>
      <x:c r="R143" s="16"/>
      <x:c r="S143" s="16"/>
      <x:c r="T143" s="16"/>
      <x:c r="U143" s="16"/>
      <x:c r="V143" s="16"/>
      <x:c r="W143" s="16"/>
      <x:c r="X143" s="16"/>
      <x:c r="Y143" s="16"/>
    </x:row>
    <x:row r="144">
      <x:c r="A144" s="16"/>
      <x:c r="B144" s="16"/>
      <x:c r="C144" s="16"/>
      <x:c r="D144" s="16"/>
      <x:c r="E144" s="16"/>
      <x:c r="F144" s="16"/>
      <x:c r="G144" s="16"/>
      <x:c r="H144" s="16"/>
      <x:c r="I144" s="16"/>
      <x:c r="J144" s="16"/>
      <x:c r="K144" s="16"/>
      <x:c r="L144" s="16"/>
      <x:c r="M144" s="16"/>
      <x:c r="N144" s="16"/>
      <x:c r="O144" s="16"/>
      <x:c r="P144" s="16"/>
      <x:c r="Q144" s="16"/>
      <x:c r="R144" s="16"/>
      <x:c r="S144" s="16"/>
      <x:c r="T144" s="16"/>
      <x:c r="U144" s="16"/>
      <x:c r="V144" s="16"/>
      <x:c r="W144" s="16"/>
      <x:c r="X144" s="16"/>
      <x:c r="Y144" s="16"/>
    </x:row>
    <x:row r="145">
      <x:c r="A145" s="16"/>
      <x:c r="B145" s="16"/>
      <x:c r="C145" s="16"/>
      <x:c r="D145" s="16"/>
      <x:c r="E145" s="16"/>
      <x:c r="F145" s="16"/>
      <x:c r="G145" s="16"/>
      <x:c r="H145" s="16"/>
      <x:c r="I145" s="16"/>
      <x:c r="J145" s="16"/>
      <x:c r="K145" s="16"/>
      <x:c r="L145" s="16"/>
      <x:c r="M145" s="16"/>
      <x:c r="N145" s="16"/>
      <x:c r="O145" s="16"/>
      <x:c r="P145" s="16"/>
      <x:c r="Q145" s="16"/>
      <x:c r="R145" s="16"/>
      <x:c r="S145" s="16"/>
      <x:c r="T145" s="16"/>
      <x:c r="U145" s="16"/>
      <x:c r="V145" s="16"/>
      <x:c r="W145" s="16"/>
      <x:c r="X145" s="16"/>
      <x:c r="Y145" s="16"/>
    </x:row>
    <x:row r="146">
      <x:c r="A146" s="16"/>
      <x:c r="B146" s="16"/>
      <x:c r="C146" s="16"/>
      <x:c r="D146" s="16"/>
      <x:c r="E146" s="16"/>
      <x:c r="F146" s="16"/>
      <x:c r="G146" s="16"/>
      <x:c r="H146" s="16"/>
      <x:c r="I146" s="16"/>
      <x:c r="J146" s="16"/>
      <x:c r="K146" s="16"/>
      <x:c r="L146" s="16"/>
      <x:c r="M146" s="16"/>
      <x:c r="N146" s="16"/>
      <x:c r="O146" s="16"/>
      <x:c r="P146" s="16"/>
      <x:c r="Q146" s="16"/>
      <x:c r="R146" s="16"/>
      <x:c r="S146" s="16"/>
      <x:c r="T146" s="16"/>
      <x:c r="U146" s="16"/>
      <x:c r="V146" s="16"/>
      <x:c r="W146" s="16"/>
      <x:c r="X146" s="16"/>
      <x:c r="Y146" s="16"/>
    </x:row>
    <x:row r="147">
      <x:c r="A147" s="16"/>
      <x:c r="B147" s="16"/>
      <x:c r="C147" s="16"/>
      <x:c r="D147" s="16"/>
      <x:c r="E147" s="16"/>
      <x:c r="F147" s="16"/>
      <x:c r="G147" s="16"/>
      <x:c r="H147" s="16"/>
      <x:c r="I147" s="16"/>
      <x:c r="J147" s="16"/>
      <x:c r="K147" s="16"/>
      <x:c r="L147" s="16"/>
      <x:c r="M147" s="16"/>
      <x:c r="N147" s="16"/>
      <x:c r="O147" s="16"/>
      <x:c r="P147" s="16"/>
      <x:c r="Q147" s="16"/>
      <x:c r="R147" s="16"/>
      <x:c r="S147" s="16"/>
      <x:c r="T147" s="16"/>
      <x:c r="U147" s="16"/>
      <x:c r="V147" s="16"/>
      <x:c r="W147" s="16"/>
      <x:c r="X147" s="16"/>
      <x:c r="Y147" s="16"/>
    </x:row>
    <x:row r="148">
      <x:c r="A148" s="16"/>
      <x:c r="B148" s="16"/>
      <x:c r="C148" s="16"/>
      <x:c r="D148" s="16"/>
      <x:c r="E148" s="16"/>
      <x:c r="F148" s="16"/>
      <x:c r="G148" s="16"/>
      <x:c r="H148" s="16"/>
      <x:c r="I148" s="16"/>
      <x:c r="J148" s="16"/>
      <x:c r="K148" s="16"/>
      <x:c r="L148" s="16"/>
      <x:c r="M148" s="16"/>
      <x:c r="N148" s="16"/>
      <x:c r="O148" s="16"/>
      <x:c r="P148" s="16"/>
      <x:c r="Q148" s="16"/>
      <x:c r="R148" s="16"/>
      <x:c r="S148" s="16"/>
      <x:c r="T148" s="16"/>
      <x:c r="U148" s="16"/>
      <x:c r="V148" s="16"/>
      <x:c r="W148" s="16"/>
      <x:c r="X148" s="16"/>
      <x:c r="Y148" s="16"/>
    </x:row>
    <x:row r="149">
      <x:c r="A149" s="16"/>
      <x:c r="B149" s="16"/>
      <x:c r="C149" s="16"/>
      <x:c r="D149" s="16"/>
      <x:c r="E149" s="16"/>
      <x:c r="F149" s="16"/>
      <x:c r="G149" s="16"/>
      <x:c r="H149" s="16"/>
      <x:c r="I149" s="16"/>
      <x:c r="J149" s="16"/>
      <x:c r="K149" s="16"/>
      <x:c r="L149" s="16"/>
      <x:c r="M149" s="16"/>
      <x:c r="N149" s="16"/>
      <x:c r="O149" s="16"/>
      <x:c r="P149" s="16"/>
      <x:c r="Q149" s="16"/>
      <x:c r="R149" s="16"/>
      <x:c r="S149" s="16"/>
      <x:c r="T149" s="16"/>
      <x:c r="U149" s="16"/>
      <x:c r="V149" s="16"/>
      <x:c r="W149" s="16"/>
      <x:c r="X149" s="16"/>
      <x:c r="Y149" s="16"/>
    </x:row>
    <x:row r="150">
      <x:c r="A150" s="16"/>
      <x:c r="B150" s="16"/>
      <x:c r="C150" s="16"/>
      <x:c r="D150" s="16"/>
      <x:c r="E150" s="16"/>
      <x:c r="F150" s="16"/>
      <x:c r="G150" s="16"/>
      <x:c r="H150" s="16"/>
      <x:c r="I150" s="16"/>
      <x:c r="J150" s="16"/>
      <x:c r="K150" s="16"/>
      <x:c r="L150" s="16"/>
      <x:c r="M150" s="16"/>
      <x:c r="N150" s="16"/>
      <x:c r="O150" s="16"/>
      <x:c r="P150" s="16"/>
      <x:c r="Q150" s="16"/>
      <x:c r="R150" s="16"/>
      <x:c r="S150" s="16"/>
      <x:c r="T150" s="16"/>
      <x:c r="U150" s="16"/>
      <x:c r="V150" s="16"/>
      <x:c r="W150" s="16"/>
      <x:c r="X150" s="16"/>
      <x:c r="Y150" s="16"/>
    </x:row>
    <x:row r="151">
      <x:c r="A151" s="16"/>
      <x:c r="B151" s="16"/>
      <x:c r="C151" s="16"/>
      <x:c r="D151" s="16"/>
      <x:c r="E151" s="16"/>
      <x:c r="F151" s="16"/>
      <x:c r="G151" s="16"/>
      <x:c r="H151" s="16"/>
      <x:c r="I151" s="16"/>
      <x:c r="J151" s="16"/>
      <x:c r="K151" s="16"/>
      <x:c r="L151" s="16"/>
      <x:c r="M151" s="16"/>
      <x:c r="N151" s="16"/>
      <x:c r="O151" s="16"/>
      <x:c r="P151" s="16"/>
      <x:c r="Q151" s="16"/>
      <x:c r="R151" s="16"/>
      <x:c r="S151" s="16"/>
      <x:c r="T151" s="16"/>
      <x:c r="U151" s="16"/>
      <x:c r="V151" s="16"/>
      <x:c r="W151" s="16"/>
      <x:c r="X151" s="16"/>
      <x:c r="Y151" s="16"/>
    </x:row>
    <x:row r="152">
      <x:c r="A152" s="16"/>
      <x:c r="B152" s="16"/>
      <x:c r="C152" s="16"/>
      <x:c r="D152" s="16"/>
      <x:c r="E152" s="16"/>
      <x:c r="F152" s="16"/>
      <x:c r="G152" s="16"/>
      <x:c r="H152" s="16"/>
      <x:c r="I152" s="16"/>
      <x:c r="J152" s="16"/>
      <x:c r="K152" s="16"/>
      <x:c r="L152" s="16"/>
      <x:c r="M152" s="16"/>
      <x:c r="N152" s="16"/>
      <x:c r="O152" s="16"/>
      <x:c r="P152" s="16"/>
      <x:c r="Q152" s="16"/>
      <x:c r="R152" s="16"/>
      <x:c r="S152" s="16"/>
      <x:c r="T152" s="16"/>
      <x:c r="U152" s="16"/>
      <x:c r="V152" s="16"/>
      <x:c r="W152" s="16"/>
      <x:c r="X152" s="16"/>
      <x:c r="Y152" s="16"/>
    </x:row>
    <x:row r="153">
      <x:c r="A153" s="16"/>
      <x:c r="B153" s="16"/>
      <x:c r="C153" s="16"/>
      <x:c r="D153" s="16"/>
      <x:c r="E153" s="16"/>
      <x:c r="F153" s="16"/>
      <x:c r="G153" s="16"/>
      <x:c r="H153" s="16"/>
      <x:c r="I153" s="16"/>
      <x:c r="J153" s="16"/>
      <x:c r="K153" s="16"/>
      <x:c r="L153" s="16"/>
      <x:c r="M153" s="16"/>
      <x:c r="N153" s="16"/>
      <x:c r="O153" s="16"/>
      <x:c r="P153" s="16"/>
      <x:c r="Q153" s="16"/>
      <x:c r="R153" s="16"/>
      <x:c r="S153" s="16"/>
      <x:c r="T153" s="16"/>
      <x:c r="U153" s="16"/>
      <x:c r="V153" s="16"/>
      <x:c r="W153" s="16"/>
      <x:c r="X153" s="16"/>
      <x:c r="Y153" s="16"/>
    </x:row>
    <x:row r="154">
      <x:c r="A154" s="16"/>
      <x:c r="B154" s="16"/>
      <x:c r="C154" s="16"/>
      <x:c r="D154" s="16"/>
      <x:c r="E154" s="16"/>
      <x:c r="F154" s="16"/>
      <x:c r="G154" s="16"/>
      <x:c r="H154" s="16"/>
      <x:c r="I154" s="16"/>
      <x:c r="J154" s="16"/>
      <x:c r="K154" s="16"/>
      <x:c r="L154" s="16"/>
      <x:c r="M154" s="16"/>
      <x:c r="N154" s="16"/>
      <x:c r="O154" s="16"/>
      <x:c r="P154" s="16"/>
      <x:c r="Q154" s="16"/>
      <x:c r="R154" s="16"/>
      <x:c r="S154" s="16"/>
      <x:c r="T154" s="16"/>
      <x:c r="U154" s="16"/>
      <x:c r="V154" s="16"/>
      <x:c r="W154" s="16"/>
      <x:c r="X154" s="16"/>
      <x:c r="Y154" s="16"/>
    </x:row>
    <x:row r="155">
      <x:c r="A155" s="16"/>
      <x:c r="B155" s="16"/>
      <x:c r="C155" s="16"/>
      <x:c r="D155" s="16"/>
      <x:c r="E155" s="16"/>
      <x:c r="F155" s="16"/>
      <x:c r="G155" s="16"/>
      <x:c r="H155" s="16"/>
      <x:c r="I155" s="16"/>
      <x:c r="J155" s="16"/>
      <x:c r="K155" s="16"/>
      <x:c r="L155" s="16"/>
      <x:c r="M155" s="16"/>
      <x:c r="N155" s="16"/>
      <x:c r="O155" s="16"/>
      <x:c r="P155" s="16"/>
      <x:c r="Q155" s="16"/>
      <x:c r="R155" s="16"/>
      <x:c r="S155" s="16"/>
      <x:c r="T155" s="16"/>
      <x:c r="U155" s="16"/>
      <x:c r="V155" s="16"/>
      <x:c r="W155" s="16"/>
      <x:c r="X155" s="16"/>
      <x:c r="Y155" s="16"/>
    </x:row>
    <x:row r="156">
      <x:c r="A156" s="16"/>
      <x:c r="B156" s="16"/>
      <x:c r="C156" s="16"/>
      <x:c r="D156" s="16"/>
      <x:c r="E156" s="16"/>
      <x:c r="F156" s="16"/>
      <x:c r="G156" s="16"/>
      <x:c r="H156" s="16"/>
      <x:c r="I156" s="16"/>
      <x:c r="J156" s="16"/>
      <x:c r="K156" s="16"/>
      <x:c r="L156" s="16"/>
      <x:c r="M156" s="16"/>
      <x:c r="N156" s="16"/>
      <x:c r="O156" s="16"/>
      <x:c r="P156" s="16"/>
      <x:c r="Q156" s="16"/>
      <x:c r="R156" s="16"/>
      <x:c r="S156" s="16"/>
      <x:c r="T156" s="16"/>
      <x:c r="U156" s="16"/>
      <x:c r="V156" s="16"/>
      <x:c r="W156" s="16"/>
      <x:c r="X156" s="16"/>
      <x:c r="Y156" s="16"/>
    </x:row>
    <x:row r="157">
      <x:c r="A157" s="16"/>
      <x:c r="B157" s="16"/>
      <x:c r="C157" s="16"/>
      <x:c r="D157" s="16"/>
      <x:c r="E157" s="16"/>
      <x:c r="F157" s="16"/>
      <x:c r="G157" s="16"/>
      <x:c r="H157" s="16"/>
      <x:c r="I157" s="16"/>
      <x:c r="J157" s="16"/>
      <x:c r="K157" s="16"/>
      <x:c r="L157" s="16"/>
      <x:c r="M157" s="16"/>
      <x:c r="N157" s="16"/>
      <x:c r="O157" s="16"/>
      <x:c r="P157" s="16"/>
      <x:c r="Q157" s="16"/>
      <x:c r="R157" s="16"/>
      <x:c r="S157" s="16"/>
      <x:c r="T157" s="16"/>
      <x:c r="U157" s="16"/>
      <x:c r="V157" s="16"/>
      <x:c r="W157" s="16"/>
      <x:c r="X157" s="16"/>
      <x:c r="Y157" s="16"/>
    </x:row>
    <x:row r="158">
      <x:c r="A158" s="16"/>
      <x:c r="B158" s="16"/>
      <x:c r="C158" s="16"/>
      <x:c r="D158" s="16"/>
      <x:c r="E158" s="16"/>
      <x:c r="F158" s="16"/>
      <x:c r="G158" s="16"/>
      <x:c r="H158" s="16"/>
      <x:c r="I158" s="16"/>
      <x:c r="J158" s="16"/>
      <x:c r="K158" s="16"/>
      <x:c r="L158" s="16"/>
      <x:c r="M158" s="16"/>
      <x:c r="N158" s="16"/>
      <x:c r="O158" s="16"/>
      <x:c r="P158" s="16"/>
      <x:c r="Q158" s="16"/>
      <x:c r="R158" s="16"/>
      <x:c r="S158" s="16"/>
      <x:c r="T158" s="16"/>
      <x:c r="U158" s="16"/>
      <x:c r="V158" s="16"/>
      <x:c r="W158" s="16"/>
      <x:c r="X158" s="16"/>
      <x:c r="Y158" s="16"/>
    </x:row>
    <x:row r="159">
      <x:c r="A159" s="16"/>
      <x:c r="B159" s="16"/>
      <x:c r="C159" s="16"/>
      <x:c r="D159" s="16"/>
      <x:c r="E159" s="16"/>
      <x:c r="F159" s="16"/>
      <x:c r="G159" s="16"/>
      <x:c r="H159" s="16"/>
      <x:c r="I159" s="16"/>
      <x:c r="J159" s="16"/>
      <x:c r="K159" s="16"/>
      <x:c r="L159" s="16"/>
      <x:c r="M159" s="16"/>
      <x:c r="N159" s="16"/>
      <x:c r="O159" s="16"/>
      <x:c r="P159" s="16"/>
      <x:c r="Q159" s="16"/>
      <x:c r="R159" s="16"/>
      <x:c r="S159" s="16"/>
      <x:c r="T159" s="16"/>
      <x:c r="U159" s="16"/>
      <x:c r="V159" s="16"/>
      <x:c r="W159" s="16"/>
      <x:c r="X159" s="16"/>
      <x:c r="Y159" s="16"/>
    </x:row>
    <x:row r="160">
      <x:c r="A160" s="16"/>
      <x:c r="B160" s="16"/>
      <x:c r="C160" s="16"/>
      <x:c r="D160" s="16"/>
      <x:c r="E160" s="16"/>
      <x:c r="F160" s="16"/>
      <x:c r="G160" s="16"/>
      <x:c r="H160" s="16"/>
      <x:c r="I160" s="16"/>
      <x:c r="J160" s="16"/>
      <x:c r="K160" s="16"/>
      <x:c r="L160" s="16"/>
      <x:c r="M160" s="16"/>
      <x:c r="N160" s="16"/>
      <x:c r="O160" s="16"/>
      <x:c r="P160" s="16"/>
      <x:c r="Q160" s="16"/>
      <x:c r="R160" s="16"/>
      <x:c r="S160" s="16"/>
      <x:c r="T160" s="16"/>
      <x:c r="U160" s="16"/>
      <x:c r="V160" s="16"/>
      <x:c r="W160" s="16"/>
      <x:c r="X160" s="16"/>
      <x:c r="Y160" s="16"/>
    </x:row>
    <x:row r="161">
      <x:c r="A161" s="16"/>
      <x:c r="B161" s="16"/>
      <x:c r="C161" s="16"/>
      <x:c r="D161" s="16"/>
      <x:c r="E161" s="16"/>
      <x:c r="F161" s="16"/>
      <x:c r="G161" s="16"/>
      <x:c r="H161" s="16"/>
      <x:c r="I161" s="16"/>
      <x:c r="J161" s="16"/>
      <x:c r="K161" s="16"/>
      <x:c r="L161" s="16"/>
      <x:c r="M161" s="16"/>
      <x:c r="N161" s="16"/>
      <x:c r="O161" s="16"/>
      <x:c r="P161" s="16"/>
      <x:c r="Q161" s="16"/>
      <x:c r="R161" s="16"/>
      <x:c r="S161" s="16"/>
      <x:c r="T161" s="16"/>
      <x:c r="U161" s="16"/>
      <x:c r="V161" s="16"/>
      <x:c r="W161" s="16"/>
      <x:c r="X161" s="16"/>
      <x:c r="Y161" s="16"/>
    </x:row>
    <x:row r="162">
      <x:c r="A162" s="16"/>
      <x:c r="B162" s="16"/>
      <x:c r="C162" s="16"/>
      <x:c r="D162" s="16"/>
      <x:c r="E162" s="16"/>
      <x:c r="F162" s="16"/>
      <x:c r="G162" s="16"/>
      <x:c r="H162" s="16"/>
      <x:c r="I162" s="16"/>
      <x:c r="J162" s="16"/>
      <x:c r="K162" s="16"/>
      <x:c r="L162" s="16"/>
      <x:c r="M162" s="16"/>
      <x:c r="N162" s="16"/>
      <x:c r="O162" s="16"/>
      <x:c r="P162" s="16"/>
      <x:c r="Q162" s="16"/>
      <x:c r="R162" s="16"/>
      <x:c r="S162" s="16"/>
      <x:c r="T162" s="16"/>
      <x:c r="U162" s="16"/>
      <x:c r="V162" s="16"/>
      <x:c r="W162" s="16"/>
      <x:c r="X162" s="16"/>
      <x:c r="Y162" s="16"/>
    </x:row>
    <x:row r="163">
      <x:c r="A163" s="16"/>
      <x:c r="B163" s="16"/>
      <x:c r="C163" s="16"/>
      <x:c r="D163" s="16"/>
      <x:c r="E163" s="16"/>
      <x:c r="F163" s="16"/>
      <x:c r="G163" s="16"/>
      <x:c r="H163" s="16"/>
      <x:c r="I163" s="16"/>
      <x:c r="J163" s="16"/>
      <x:c r="K163" s="16"/>
      <x:c r="L163" s="16"/>
      <x:c r="M163" s="16"/>
      <x:c r="N163" s="16"/>
      <x:c r="O163" s="16"/>
      <x:c r="P163" s="16"/>
      <x:c r="Q163" s="16"/>
      <x:c r="R163" s="16"/>
      <x:c r="S163" s="16"/>
      <x:c r="T163" s="16"/>
      <x:c r="U163" s="16"/>
      <x:c r="V163" s="16"/>
      <x:c r="W163" s="16"/>
      <x:c r="X163" s="16"/>
      <x:c r="Y163" s="16"/>
    </x:row>
    <x:row r="164">
      <x:c r="A164" s="16"/>
      <x:c r="B164" s="16"/>
      <x:c r="C164" s="16"/>
      <x:c r="D164" s="16"/>
      <x:c r="E164" s="16"/>
      <x:c r="F164" s="16"/>
      <x:c r="G164" s="16"/>
      <x:c r="H164" s="16"/>
      <x:c r="I164" s="16"/>
      <x:c r="J164" s="16"/>
      <x:c r="K164" s="16"/>
      <x:c r="L164" s="16"/>
      <x:c r="M164" s="16"/>
      <x:c r="N164" s="16"/>
      <x:c r="O164" s="16"/>
      <x:c r="P164" s="16"/>
      <x:c r="Q164" s="16"/>
      <x:c r="R164" s="16"/>
      <x:c r="S164" s="16"/>
      <x:c r="T164" s="16"/>
      <x:c r="U164" s="16"/>
      <x:c r="V164" s="16"/>
      <x:c r="W164" s="16"/>
      <x:c r="X164" s="16"/>
      <x:c r="Y164" s="16"/>
    </x:row>
    <x:row r="165">
      <x:c r="A165" s="16"/>
      <x:c r="B165" s="16"/>
      <x:c r="C165" s="16"/>
      <x:c r="D165" s="16"/>
      <x:c r="E165" s="16"/>
      <x:c r="F165" s="16"/>
      <x:c r="G165" s="16"/>
      <x:c r="H165" s="16"/>
      <x:c r="I165" s="16"/>
      <x:c r="J165" s="16"/>
      <x:c r="K165" s="16"/>
      <x:c r="L165" s="16"/>
      <x:c r="M165" s="16"/>
      <x:c r="N165" s="16"/>
      <x:c r="O165" s="16"/>
      <x:c r="P165" s="16"/>
      <x:c r="Q165" s="16"/>
      <x:c r="R165" s="16"/>
      <x:c r="S165" s="16"/>
      <x:c r="T165" s="16"/>
      <x:c r="U165" s="16"/>
      <x:c r="V165" s="16"/>
      <x:c r="W165" s="16"/>
      <x:c r="X165" s="16"/>
      <x:c r="Y165" s="16"/>
    </x:row>
    <x:row r="166">
      <x:c r="A166" s="16"/>
      <x:c r="B166" s="16"/>
      <x:c r="C166" s="16"/>
      <x:c r="D166" s="16"/>
      <x:c r="E166" s="16"/>
      <x:c r="F166" s="16"/>
      <x:c r="G166" s="16"/>
      <x:c r="H166" s="16"/>
      <x:c r="I166" s="16"/>
      <x:c r="J166" s="16"/>
      <x:c r="K166" s="16"/>
      <x:c r="L166" s="16"/>
      <x:c r="M166" s="16"/>
      <x:c r="N166" s="16"/>
      <x:c r="O166" s="16"/>
      <x:c r="P166" s="16"/>
      <x:c r="Q166" s="16"/>
      <x:c r="R166" s="16"/>
      <x:c r="S166" s="16"/>
      <x:c r="T166" s="16"/>
      <x:c r="U166" s="16"/>
      <x:c r="V166" s="16"/>
      <x:c r="W166" s="16"/>
      <x:c r="X166" s="16"/>
      <x:c r="Y166" s="16"/>
    </x:row>
    <x:row r="167">
      <x:c r="A167" s="16"/>
      <x:c r="B167" s="16"/>
      <x:c r="C167" s="16"/>
      <x:c r="D167" s="16"/>
      <x:c r="E167" s="16"/>
      <x:c r="F167" s="16"/>
      <x:c r="G167" s="16"/>
      <x:c r="H167" s="16"/>
      <x:c r="I167" s="16"/>
      <x:c r="J167" s="16"/>
      <x:c r="K167" s="16"/>
      <x:c r="L167" s="16"/>
      <x:c r="M167" s="16"/>
      <x:c r="N167" s="16"/>
      <x:c r="O167" s="16"/>
      <x:c r="P167" s="16"/>
      <x:c r="Q167" s="16"/>
      <x:c r="R167" s="16"/>
      <x:c r="S167" s="16"/>
      <x:c r="T167" s="16"/>
      <x:c r="U167" s="16"/>
      <x:c r="V167" s="16"/>
      <x:c r="W167" s="16"/>
      <x:c r="X167" s="16"/>
      <x:c r="Y167" s="16"/>
    </x:row>
    <x:row r="168">
      <x:c r="A168" s="16"/>
      <x:c r="B168" s="16"/>
      <x:c r="C168" s="16"/>
      <x:c r="D168" s="16"/>
      <x:c r="E168" s="16"/>
      <x:c r="F168" s="16"/>
      <x:c r="G168" s="16"/>
      <x:c r="H168" s="16"/>
      <x:c r="I168" s="16"/>
      <x:c r="J168" s="16"/>
      <x:c r="K168" s="16"/>
      <x:c r="L168" s="16"/>
      <x:c r="M168" s="16"/>
      <x:c r="N168" s="16"/>
      <x:c r="O168" s="16"/>
      <x:c r="P168" s="16"/>
      <x:c r="Q168" s="16"/>
      <x:c r="R168" s="16"/>
      <x:c r="S168" s="16"/>
      <x:c r="T168" s="16"/>
      <x:c r="U168" s="16"/>
      <x:c r="V168" s="16"/>
      <x:c r="W168" s="16"/>
      <x:c r="X168" s="16"/>
      <x:c r="Y168" s="16"/>
    </x:row>
    <x:row r="169">
      <x:c r="A169" s="16"/>
      <x:c r="B169" s="16"/>
      <x:c r="C169" s="16"/>
      <x:c r="D169" s="16"/>
      <x:c r="E169" s="16"/>
      <x:c r="F169" s="16"/>
      <x:c r="G169" s="16"/>
      <x:c r="H169" s="16"/>
      <x:c r="I169" s="16"/>
      <x:c r="J169" s="16"/>
      <x:c r="K169" s="16"/>
      <x:c r="L169" s="16"/>
      <x:c r="M169" s="16"/>
      <x:c r="N169" s="16"/>
      <x:c r="O169" s="16"/>
      <x:c r="P169" s="16"/>
      <x:c r="Q169" s="16"/>
      <x:c r="R169" s="16"/>
      <x:c r="S169" s="16"/>
      <x:c r="T169" s="16"/>
      <x:c r="U169" s="16"/>
      <x:c r="V169" s="16"/>
      <x:c r="W169" s="16"/>
      <x:c r="X169" s="16"/>
      <x:c r="Y169" s="16"/>
    </x:row>
    <x:row r="170">
      <x:c r="A170" s="16"/>
      <x:c r="B170" s="16"/>
      <x:c r="C170" s="16"/>
      <x:c r="D170" s="16"/>
      <x:c r="E170" s="16"/>
      <x:c r="F170" s="16"/>
      <x:c r="G170" s="16"/>
      <x:c r="H170" s="16"/>
      <x:c r="I170" s="16"/>
      <x:c r="J170" s="16"/>
      <x:c r="K170" s="16"/>
      <x:c r="L170" s="16"/>
      <x:c r="M170" s="16"/>
      <x:c r="N170" s="16"/>
      <x:c r="O170" s="16"/>
      <x:c r="P170" s="16"/>
      <x:c r="Q170" s="16"/>
      <x:c r="R170" s="16"/>
      <x:c r="S170" s="16"/>
      <x:c r="T170" s="16"/>
      <x:c r="U170" s="16"/>
      <x:c r="V170" s="16"/>
      <x:c r="W170" s="16"/>
      <x:c r="X170" s="16"/>
      <x:c r="Y170" s="16"/>
    </x:row>
    <x:row r="171">
      <x:c r="A171" s="16"/>
      <x:c r="B171" s="16"/>
      <x:c r="C171" s="16"/>
      <x:c r="D171" s="16"/>
      <x:c r="E171" s="16"/>
      <x:c r="F171" s="16"/>
      <x:c r="G171" s="16"/>
      <x:c r="H171" s="16"/>
      <x:c r="I171" s="16"/>
      <x:c r="J171" s="16"/>
      <x:c r="K171" s="16"/>
      <x:c r="L171" s="16"/>
      <x:c r="M171" s="16"/>
      <x:c r="N171" s="16"/>
      <x:c r="O171" s="16"/>
      <x:c r="P171" s="16"/>
      <x:c r="Q171" s="16"/>
      <x:c r="R171" s="16"/>
      <x:c r="S171" s="16"/>
      <x:c r="T171" s="16"/>
      <x:c r="U171" s="16"/>
      <x:c r="V171" s="16"/>
      <x:c r="W171" s="16"/>
      <x:c r="X171" s="16"/>
      <x:c r="Y171" s="16"/>
    </x:row>
    <x:row r="172">
      <x:c r="A172" s="16"/>
      <x:c r="B172" s="16"/>
      <x:c r="C172" s="16"/>
      <x:c r="D172" s="16"/>
      <x:c r="E172" s="16"/>
      <x:c r="F172" s="16"/>
      <x:c r="G172" s="16"/>
      <x:c r="H172" s="16"/>
      <x:c r="I172" s="16"/>
      <x:c r="J172" s="16"/>
      <x:c r="K172" s="16"/>
      <x:c r="L172" s="16"/>
      <x:c r="M172" s="16"/>
      <x:c r="N172" s="16"/>
      <x:c r="O172" s="16"/>
      <x:c r="P172" s="16"/>
      <x:c r="Q172" s="16"/>
      <x:c r="R172" s="16"/>
      <x:c r="S172" s="16"/>
      <x:c r="T172" s="16"/>
      <x:c r="U172" s="16"/>
      <x:c r="V172" s="16"/>
      <x:c r="W172" s="16"/>
      <x:c r="X172" s="16"/>
      <x:c r="Y172" s="16"/>
    </x:row>
    <x:row r="173">
      <x:c r="A173" s="16"/>
      <x:c r="B173" s="16"/>
      <x:c r="C173" s="16"/>
      <x:c r="D173" s="16"/>
      <x:c r="E173" s="16"/>
      <x:c r="F173" s="16"/>
      <x:c r="G173" s="16"/>
      <x:c r="H173" s="16"/>
      <x:c r="I173" s="16"/>
      <x:c r="J173" s="16"/>
      <x:c r="K173" s="16"/>
      <x:c r="L173" s="16"/>
      <x:c r="M173" s="16"/>
      <x:c r="N173" s="16"/>
      <x:c r="O173" s="16"/>
      <x:c r="P173" s="16"/>
      <x:c r="Q173" s="16"/>
      <x:c r="R173" s="16"/>
      <x:c r="S173" s="16"/>
      <x:c r="T173" s="16"/>
      <x:c r="U173" s="16"/>
      <x:c r="V173" s="16"/>
      <x:c r="W173" s="16"/>
      <x:c r="X173" s="16"/>
      <x:c r="Y173" s="16"/>
    </x:row>
    <x:row r="174">
      <x:c r="A174" s="16"/>
      <x:c r="B174" s="16"/>
      <x:c r="C174" s="16"/>
      <x:c r="D174" s="16"/>
      <x:c r="E174" s="16"/>
      <x:c r="F174" s="16"/>
      <x:c r="G174" s="16"/>
      <x:c r="H174" s="16"/>
      <x:c r="I174" s="16"/>
      <x:c r="J174" s="16"/>
      <x:c r="K174" s="16"/>
      <x:c r="L174" s="16"/>
      <x:c r="M174" s="16"/>
      <x:c r="N174" s="16"/>
      <x:c r="O174" s="16"/>
      <x:c r="P174" s="16"/>
      <x:c r="Q174" s="16"/>
      <x:c r="R174" s="16"/>
      <x:c r="S174" s="16"/>
      <x:c r="T174" s="16"/>
      <x:c r="U174" s="16"/>
      <x:c r="V174" s="16"/>
      <x:c r="W174" s="16"/>
      <x:c r="X174" s="16"/>
      <x:c r="Y174" s="16"/>
    </x:row>
    <x:row r="175">
      <x:c r="A175" s="16"/>
      <x:c r="B175" s="16"/>
      <x:c r="C175" s="16"/>
      <x:c r="D175" s="16"/>
      <x:c r="E175" s="16"/>
      <x:c r="F175" s="16"/>
      <x:c r="G175" s="16"/>
      <x:c r="H175" s="16"/>
      <x:c r="I175" s="16"/>
      <x:c r="J175" s="16"/>
      <x:c r="K175" s="16"/>
      <x:c r="L175" s="16"/>
      <x:c r="M175" s="16"/>
      <x:c r="N175" s="16"/>
      <x:c r="O175" s="16"/>
      <x:c r="P175" s="16"/>
      <x:c r="Q175" s="16"/>
      <x:c r="R175" s="16"/>
      <x:c r="S175" s="16"/>
      <x:c r="T175" s="16"/>
      <x:c r="U175" s="16"/>
      <x:c r="V175" s="16"/>
      <x:c r="W175" s="16"/>
      <x:c r="X175" s="16"/>
      <x:c r="Y175" s="16"/>
    </x:row>
    <x:row r="176">
      <x:c r="A176" s="16"/>
      <x:c r="B176" s="16"/>
      <x:c r="C176" s="16"/>
      <x:c r="D176" s="16"/>
      <x:c r="E176" s="16"/>
      <x:c r="F176" s="16"/>
      <x:c r="G176" s="16"/>
      <x:c r="H176" s="16"/>
      <x:c r="I176" s="16"/>
      <x:c r="J176" s="16"/>
      <x:c r="K176" s="16"/>
      <x:c r="L176" s="16"/>
      <x:c r="M176" s="16"/>
      <x:c r="N176" s="16"/>
      <x:c r="O176" s="16"/>
      <x:c r="P176" s="16"/>
      <x:c r="Q176" s="16"/>
      <x:c r="R176" s="16"/>
      <x:c r="S176" s="16"/>
      <x:c r="T176" s="16"/>
      <x:c r="U176" s="16"/>
      <x:c r="V176" s="16"/>
      <x:c r="W176" s="16"/>
      <x:c r="X176" s="16"/>
      <x:c r="Y176" s="16"/>
    </x:row>
    <x:row r="177">
      <x:c r="A177" s="16"/>
      <x:c r="B177" s="16"/>
      <x:c r="C177" s="16"/>
      <x:c r="D177" s="16"/>
      <x:c r="E177" s="16"/>
      <x:c r="F177" s="16"/>
      <x:c r="G177" s="16"/>
      <x:c r="H177" s="16"/>
      <x:c r="I177" s="16"/>
      <x:c r="J177" s="16"/>
      <x:c r="K177" s="16"/>
      <x:c r="L177" s="16"/>
      <x:c r="M177" s="16"/>
      <x:c r="N177" s="16"/>
      <x:c r="O177" s="16"/>
      <x:c r="P177" s="16"/>
      <x:c r="Q177" s="16"/>
      <x:c r="R177" s="16"/>
      <x:c r="S177" s="16"/>
      <x:c r="T177" s="16"/>
      <x:c r="U177" s="16"/>
      <x:c r="V177" s="16"/>
      <x:c r="W177" s="16"/>
      <x:c r="X177" s="16"/>
      <x:c r="Y177" s="16"/>
    </x:row>
    <x:row r="178">
      <x:c r="A178" s="16"/>
      <x:c r="B178" s="16"/>
      <x:c r="C178" s="16"/>
      <x:c r="D178" s="16"/>
      <x:c r="E178" s="16"/>
      <x:c r="F178" s="16"/>
      <x:c r="G178" s="16"/>
      <x:c r="H178" s="16"/>
      <x:c r="I178" s="16"/>
      <x:c r="J178" s="16"/>
      <x:c r="K178" s="16"/>
      <x:c r="L178" s="16"/>
      <x:c r="M178" s="16"/>
      <x:c r="N178" s="16"/>
      <x:c r="O178" s="16"/>
      <x:c r="P178" s="16"/>
      <x:c r="Q178" s="16"/>
      <x:c r="R178" s="16"/>
      <x:c r="S178" s="16"/>
      <x:c r="T178" s="16"/>
      <x:c r="U178" s="16"/>
      <x:c r="V178" s="16"/>
      <x:c r="W178" s="16"/>
      <x:c r="X178" s="16"/>
      <x:c r="Y178" s="16"/>
    </x:row>
    <x:row r="179">
      <x:c r="A179" s="16"/>
      <x:c r="B179" s="16"/>
      <x:c r="C179" s="16"/>
      <x:c r="D179" s="16"/>
      <x:c r="E179" s="16"/>
      <x:c r="F179" s="16"/>
      <x:c r="G179" s="16"/>
      <x:c r="H179" s="16"/>
      <x:c r="I179" s="16"/>
      <x:c r="J179" s="16"/>
      <x:c r="K179" s="16"/>
      <x:c r="L179" s="16"/>
      <x:c r="M179" s="16"/>
      <x:c r="N179" s="16"/>
      <x:c r="O179" s="16"/>
      <x:c r="P179" s="16"/>
      <x:c r="Q179" s="16"/>
      <x:c r="R179" s="16"/>
      <x:c r="S179" s="16"/>
      <x:c r="T179" s="16"/>
      <x:c r="U179" s="16"/>
      <x:c r="V179" s="16"/>
      <x:c r="W179" s="16"/>
      <x:c r="X179" s="16"/>
      <x:c r="Y179" s="16"/>
    </x:row>
    <x:row r="180">
      <x:c r="A180" s="16"/>
      <x:c r="B180" s="16"/>
      <x:c r="C180" s="16"/>
      <x:c r="D180" s="16"/>
      <x:c r="E180" s="16"/>
      <x:c r="F180" s="16"/>
      <x:c r="G180" s="16"/>
      <x:c r="H180" s="16"/>
      <x:c r="I180" s="16"/>
      <x:c r="J180" s="16"/>
      <x:c r="K180" s="16"/>
      <x:c r="L180" s="16"/>
      <x:c r="M180" s="16"/>
      <x:c r="N180" s="16"/>
      <x:c r="O180" s="16"/>
      <x:c r="P180" s="16"/>
      <x:c r="Q180" s="16"/>
      <x:c r="R180" s="16"/>
      <x:c r="S180" s="16"/>
      <x:c r="T180" s="16"/>
      <x:c r="U180" s="16"/>
      <x:c r="V180" s="16"/>
      <x:c r="W180" s="16"/>
      <x:c r="X180" s="16"/>
      <x:c r="Y180" s="16"/>
    </x:row>
    <x:row r="181">
      <x:c r="A181" s="16"/>
      <x:c r="B181" s="16"/>
      <x:c r="C181" s="16"/>
      <x:c r="D181" s="16"/>
      <x:c r="E181" s="16"/>
      <x:c r="F181" s="16"/>
      <x:c r="G181" s="16"/>
      <x:c r="H181" s="16"/>
      <x:c r="I181" s="16"/>
      <x:c r="J181" s="16"/>
      <x:c r="K181" s="16"/>
      <x:c r="L181" s="16"/>
      <x:c r="M181" s="16"/>
      <x:c r="N181" s="16"/>
      <x:c r="O181" s="16"/>
      <x:c r="P181" s="16"/>
      <x:c r="Q181" s="16"/>
      <x:c r="R181" s="16"/>
      <x:c r="S181" s="16"/>
      <x:c r="T181" s="16"/>
      <x:c r="U181" s="16"/>
      <x:c r="V181" s="16"/>
      <x:c r="W181" s="16"/>
      <x:c r="X181" s="16"/>
      <x:c r="Y181" s="16"/>
    </x:row>
    <x:row r="182">
      <x:c r="A182" s="16"/>
      <x:c r="B182" s="16"/>
      <x:c r="C182" s="16"/>
      <x:c r="D182" s="16"/>
      <x:c r="E182" s="16"/>
      <x:c r="F182" s="16"/>
      <x:c r="G182" s="16"/>
      <x:c r="H182" s="16"/>
      <x:c r="I182" s="16"/>
      <x:c r="J182" s="16"/>
      <x:c r="K182" s="16"/>
      <x:c r="L182" s="16"/>
      <x:c r="M182" s="16"/>
      <x:c r="N182" s="16"/>
      <x:c r="O182" s="16"/>
      <x:c r="P182" s="16"/>
      <x:c r="Q182" s="16"/>
      <x:c r="R182" s="16"/>
      <x:c r="S182" s="16"/>
      <x:c r="T182" s="16"/>
      <x:c r="U182" s="16"/>
      <x:c r="V182" s="16"/>
      <x:c r="W182" s="16"/>
      <x:c r="X182" s="16"/>
      <x:c r="Y182" s="16"/>
    </x:row>
    <x:row r="183">
      <x:c r="A183" s="16"/>
      <x:c r="B183" s="16"/>
      <x:c r="C183" s="16"/>
      <x:c r="D183" s="16"/>
      <x:c r="E183" s="16"/>
      <x:c r="F183" s="16"/>
      <x:c r="G183" s="16"/>
      <x:c r="H183" s="16"/>
      <x:c r="I183" s="16"/>
      <x:c r="J183" s="16"/>
      <x:c r="K183" s="16"/>
      <x:c r="L183" s="16"/>
      <x:c r="M183" s="16"/>
      <x:c r="N183" s="16"/>
      <x:c r="O183" s="16"/>
      <x:c r="P183" s="16"/>
      <x:c r="Q183" s="16"/>
      <x:c r="R183" s="16"/>
      <x:c r="S183" s="16"/>
      <x:c r="T183" s="16"/>
      <x:c r="U183" s="16"/>
      <x:c r="V183" s="16"/>
      <x:c r="W183" s="16"/>
      <x:c r="X183" s="16"/>
      <x:c r="Y183" s="16"/>
    </x:row>
    <x:row r="184">
      <x:c r="A184" s="16"/>
      <x:c r="B184" s="16"/>
      <x:c r="C184" s="16"/>
      <x:c r="D184" s="16"/>
      <x:c r="E184" s="16"/>
      <x:c r="F184" s="16"/>
      <x:c r="G184" s="16"/>
      <x:c r="H184" s="16"/>
      <x:c r="I184" s="16"/>
      <x:c r="J184" s="16"/>
      <x:c r="K184" s="16"/>
      <x:c r="L184" s="16"/>
      <x:c r="M184" s="16"/>
      <x:c r="N184" s="16"/>
      <x:c r="O184" s="16"/>
      <x:c r="P184" s="16"/>
      <x:c r="Q184" s="16"/>
      <x:c r="R184" s="16"/>
      <x:c r="S184" s="16"/>
      <x:c r="T184" s="16"/>
      <x:c r="U184" s="16"/>
      <x:c r="V184" s="16"/>
      <x:c r="W184" s="16"/>
      <x:c r="X184" s="16"/>
      <x:c r="Y184" s="16"/>
    </x:row>
    <x:row r="185">
      <x:c r="A185" s="16"/>
      <x:c r="B185" s="16"/>
      <x:c r="C185" s="16"/>
      <x:c r="D185" s="16"/>
      <x:c r="E185" s="16"/>
      <x:c r="F185" s="16"/>
      <x:c r="G185" s="16"/>
      <x:c r="H185" s="16"/>
      <x:c r="I185" s="16"/>
      <x:c r="J185" s="16"/>
      <x:c r="K185" s="16"/>
      <x:c r="L185" s="16"/>
      <x:c r="M185" s="16"/>
      <x:c r="N185" s="16"/>
      <x:c r="O185" s="16"/>
      <x:c r="P185" s="16"/>
      <x:c r="Q185" s="16"/>
      <x:c r="R185" s="16"/>
      <x:c r="S185" s="16"/>
      <x:c r="T185" s="16"/>
      <x:c r="U185" s="16"/>
      <x:c r="V185" s="16"/>
      <x:c r="W185" s="16"/>
      <x:c r="X185" s="16"/>
      <x:c r="Y185" s="16"/>
    </x:row>
    <x:row r="186">
      <x:c r="A186" s="16"/>
      <x:c r="B186" s="16"/>
      <x:c r="C186" s="16"/>
      <x:c r="D186" s="16"/>
      <x:c r="E186" s="16"/>
      <x:c r="F186" s="16"/>
      <x:c r="G186" s="16"/>
      <x:c r="H186" s="16"/>
      <x:c r="I186" s="16"/>
      <x:c r="J186" s="16"/>
      <x:c r="K186" s="16"/>
      <x:c r="L186" s="16"/>
      <x:c r="M186" s="16"/>
      <x:c r="N186" s="16"/>
      <x:c r="O186" s="16"/>
      <x:c r="P186" s="16"/>
      <x:c r="Q186" s="16"/>
      <x:c r="R186" s="16"/>
      <x:c r="S186" s="16"/>
      <x:c r="T186" s="16"/>
      <x:c r="U186" s="16"/>
      <x:c r="V186" s="16"/>
      <x:c r="W186" s="16"/>
      <x:c r="X186" s="16"/>
      <x:c r="Y186" s="16"/>
    </x:row>
    <x:row r="187">
      <x:c r="A187" s="16"/>
      <x:c r="B187" s="16"/>
      <x:c r="C187" s="16"/>
      <x:c r="D187" s="16"/>
      <x:c r="E187" s="16"/>
      <x:c r="F187" s="16"/>
      <x:c r="G187" s="16"/>
      <x:c r="H187" s="16"/>
      <x:c r="I187" s="16"/>
      <x:c r="J187" s="16"/>
      <x:c r="K187" s="16"/>
      <x:c r="L187" s="16"/>
      <x:c r="M187" s="16"/>
      <x:c r="N187" s="16"/>
      <x:c r="O187" s="16"/>
      <x:c r="P187" s="16"/>
      <x:c r="Q187" s="16"/>
      <x:c r="R187" s="16"/>
      <x:c r="S187" s="16"/>
      <x:c r="T187" s="16"/>
      <x:c r="U187" s="16"/>
      <x:c r="V187" s="16"/>
      <x:c r="W187" s="16"/>
      <x:c r="X187" s="16"/>
      <x:c r="Y187" s="16"/>
    </x:row>
    <x:row r="188">
      <x:c r="A188" s="16"/>
      <x:c r="B188" s="16"/>
      <x:c r="C188" s="16"/>
      <x:c r="D188" s="16"/>
      <x:c r="E188" s="16"/>
      <x:c r="F188" s="16"/>
      <x:c r="G188" s="16"/>
      <x:c r="H188" s="16"/>
      <x:c r="I188" s="16"/>
      <x:c r="J188" s="16"/>
      <x:c r="K188" s="16"/>
      <x:c r="L188" s="16"/>
      <x:c r="M188" s="16"/>
      <x:c r="N188" s="16"/>
      <x:c r="O188" s="16"/>
      <x:c r="P188" s="16"/>
      <x:c r="Q188" s="16"/>
      <x:c r="R188" s="16"/>
      <x:c r="S188" s="16"/>
      <x:c r="T188" s="16"/>
      <x:c r="U188" s="16"/>
      <x:c r="V188" s="16"/>
      <x:c r="W188" s="16"/>
      <x:c r="X188" s="16"/>
      <x:c r="Y188" s="16"/>
    </x:row>
    <x:row r="189">
      <x:c r="A189" s="16"/>
      <x:c r="B189" s="16"/>
      <x:c r="C189" s="16"/>
      <x:c r="D189" s="16"/>
      <x:c r="E189" s="16"/>
      <x:c r="F189" s="16"/>
      <x:c r="G189" s="16"/>
      <x:c r="H189" s="16"/>
      <x:c r="I189" s="16"/>
      <x:c r="J189" s="16"/>
      <x:c r="K189" s="16"/>
      <x:c r="L189" s="16"/>
      <x:c r="M189" s="16"/>
      <x:c r="N189" s="16"/>
      <x:c r="O189" s="16"/>
      <x:c r="P189" s="16"/>
      <x:c r="Q189" s="16"/>
      <x:c r="R189" s="16"/>
      <x:c r="S189" s="16"/>
      <x:c r="T189" s="16"/>
      <x:c r="U189" s="16"/>
      <x:c r="V189" s="16"/>
      <x:c r="W189" s="16"/>
      <x:c r="X189" s="16"/>
      <x:c r="Y189" s="16"/>
    </x:row>
    <x:row r="190">
      <x:c r="A190" s="16"/>
      <x:c r="B190" s="16"/>
      <x:c r="C190" s="16"/>
      <x:c r="D190" s="16"/>
      <x:c r="E190" s="16"/>
      <x:c r="F190" s="16"/>
      <x:c r="G190" s="16"/>
      <x:c r="H190" s="16"/>
      <x:c r="I190" s="16"/>
      <x:c r="J190" s="16"/>
      <x:c r="K190" s="16"/>
      <x:c r="L190" s="16"/>
      <x:c r="M190" s="16"/>
      <x:c r="N190" s="16"/>
      <x:c r="O190" s="16"/>
      <x:c r="P190" s="16"/>
      <x:c r="Q190" s="16"/>
      <x:c r="R190" s="16"/>
      <x:c r="S190" s="16"/>
      <x:c r="T190" s="16"/>
      <x:c r="U190" s="16"/>
      <x:c r="V190" s="16"/>
      <x:c r="W190" s="16"/>
      <x:c r="X190" s="16"/>
      <x:c r="Y190" s="16"/>
    </x:row>
    <x:row r="191">
      <x:c r="A191" s="16"/>
      <x:c r="B191" s="16"/>
      <x:c r="C191" s="16"/>
      <x:c r="D191" s="16"/>
      <x:c r="E191" s="16"/>
      <x:c r="F191" s="16"/>
      <x:c r="G191" s="16"/>
      <x:c r="H191" s="16"/>
      <x:c r="I191" s="16"/>
      <x:c r="J191" s="16"/>
      <x:c r="K191" s="16"/>
      <x:c r="L191" s="16"/>
      <x:c r="M191" s="16"/>
      <x:c r="N191" s="16"/>
      <x:c r="O191" s="16"/>
      <x:c r="P191" s="16"/>
      <x:c r="Q191" s="16"/>
      <x:c r="R191" s="16"/>
      <x:c r="S191" s="16"/>
      <x:c r="T191" s="16"/>
      <x:c r="U191" s="16"/>
      <x:c r="V191" s="16"/>
      <x:c r="W191" s="16"/>
      <x:c r="X191" s="16"/>
      <x:c r="Y191" s="16"/>
    </x:row>
    <x:row r="192">
      <x:c r="A192" s="16"/>
      <x:c r="B192" s="16"/>
      <x:c r="C192" s="16"/>
      <x:c r="D192" s="16"/>
      <x:c r="E192" s="16"/>
      <x:c r="F192" s="16"/>
      <x:c r="G192" s="16"/>
      <x:c r="H192" s="16"/>
      <x:c r="I192" s="16"/>
      <x:c r="J192" s="16"/>
      <x:c r="K192" s="16"/>
      <x:c r="L192" s="16"/>
      <x:c r="M192" s="16"/>
      <x:c r="N192" s="16"/>
      <x:c r="O192" s="16"/>
      <x:c r="P192" s="16"/>
      <x:c r="Q192" s="16"/>
      <x:c r="R192" s="16"/>
      <x:c r="S192" s="16"/>
      <x:c r="T192" s="16"/>
      <x:c r="U192" s="16"/>
      <x:c r="V192" s="16"/>
      <x:c r="W192" s="16"/>
      <x:c r="X192" s="16"/>
      <x:c r="Y192" s="16"/>
    </x:row>
    <x:row r="193">
      <x:c r="A193" s="16"/>
      <x:c r="B193" s="16"/>
      <x:c r="C193" s="16"/>
      <x:c r="D193" s="16"/>
      <x:c r="E193" s="16"/>
      <x:c r="F193" s="16"/>
      <x:c r="G193" s="16"/>
      <x:c r="H193" s="16"/>
      <x:c r="I193" s="16"/>
      <x:c r="J193" s="16"/>
      <x:c r="K193" s="16"/>
      <x:c r="L193" s="16"/>
      <x:c r="M193" s="16"/>
      <x:c r="N193" s="16"/>
      <x:c r="O193" s="16"/>
      <x:c r="P193" s="16"/>
      <x:c r="Q193" s="16"/>
      <x:c r="R193" s="16"/>
      <x:c r="S193" s="16"/>
      <x:c r="T193" s="16"/>
      <x:c r="U193" s="16"/>
      <x:c r="V193" s="16"/>
      <x:c r="W193" s="16"/>
      <x:c r="X193" s="16"/>
      <x:c r="Y193" s="16"/>
    </x:row>
    <x:row r="194">
      <x:c r="A194" s="16"/>
      <x:c r="B194" s="16"/>
      <x:c r="C194" s="16"/>
      <x:c r="D194" s="16"/>
      <x:c r="E194" s="16"/>
      <x:c r="F194" s="16"/>
      <x:c r="G194" s="16"/>
      <x:c r="H194" s="16"/>
      <x:c r="I194" s="16"/>
      <x:c r="J194" s="16"/>
      <x:c r="K194" s="16"/>
      <x:c r="L194" s="16"/>
      <x:c r="M194" s="16"/>
      <x:c r="N194" s="16"/>
      <x:c r="O194" s="16"/>
      <x:c r="P194" s="16"/>
      <x:c r="Q194" s="16"/>
      <x:c r="R194" s="16"/>
      <x:c r="S194" s="16"/>
      <x:c r="T194" s="16"/>
      <x:c r="U194" s="16"/>
      <x:c r="V194" s="16"/>
      <x:c r="W194" s="16"/>
      <x:c r="X194" s="16"/>
      <x:c r="Y194" s="16"/>
    </x:row>
    <x:row r="195">
      <x:c r="A195" s="16"/>
      <x:c r="B195" s="16"/>
      <x:c r="C195" s="16"/>
      <x:c r="D195" s="16"/>
      <x:c r="E195" s="16"/>
      <x:c r="F195" s="16"/>
      <x:c r="G195" s="16"/>
      <x:c r="H195" s="16"/>
      <x:c r="I195" s="16"/>
      <x:c r="J195" s="16"/>
      <x:c r="K195" s="16"/>
      <x:c r="L195" s="16"/>
      <x:c r="M195" s="16"/>
      <x:c r="N195" s="16"/>
      <x:c r="O195" s="16"/>
      <x:c r="P195" s="16"/>
      <x:c r="Q195" s="16"/>
      <x:c r="R195" s="16"/>
      <x:c r="S195" s="16"/>
      <x:c r="T195" s="16"/>
      <x:c r="U195" s="16"/>
      <x:c r="V195" s="16"/>
      <x:c r="W195" s="16"/>
      <x:c r="X195" s="16"/>
      <x:c r="Y195" s="16"/>
    </x:row>
    <x:row r="196">
      <x:c r="A196" s="16"/>
      <x:c r="B196" s="16"/>
      <x:c r="C196" s="16"/>
      <x:c r="D196" s="16"/>
      <x:c r="E196" s="16"/>
      <x:c r="F196" s="16"/>
      <x:c r="G196" s="16"/>
      <x:c r="H196" s="16"/>
      <x:c r="I196" s="16"/>
      <x:c r="J196" s="16"/>
      <x:c r="K196" s="16"/>
      <x:c r="L196" s="16"/>
      <x:c r="M196" s="16"/>
      <x:c r="N196" s="16"/>
      <x:c r="O196" s="16"/>
      <x:c r="P196" s="16"/>
      <x:c r="Q196" s="16"/>
      <x:c r="R196" s="16"/>
      <x:c r="S196" s="16"/>
      <x:c r="T196" s="16"/>
      <x:c r="U196" s="16"/>
      <x:c r="V196" s="16"/>
      <x:c r="W196" s="16"/>
      <x:c r="X196" s="16"/>
      <x:c r="Y196" s="16"/>
    </x:row>
    <x:row r="197">
      <x:c r="A197" s="16"/>
      <x:c r="B197" s="16"/>
      <x:c r="C197" s="16"/>
      <x:c r="D197" s="16"/>
      <x:c r="E197" s="16"/>
      <x:c r="F197" s="16"/>
      <x:c r="G197" s="16"/>
      <x:c r="H197" s="16"/>
      <x:c r="I197" s="16"/>
      <x:c r="J197" s="16"/>
      <x:c r="K197" s="16"/>
      <x:c r="L197" s="16"/>
      <x:c r="M197" s="16"/>
      <x:c r="N197" s="16"/>
      <x:c r="O197" s="16"/>
      <x:c r="P197" s="16"/>
      <x:c r="Q197" s="16"/>
      <x:c r="R197" s="16"/>
      <x:c r="S197" s="16"/>
      <x:c r="T197" s="16"/>
      <x:c r="U197" s="16"/>
      <x:c r="V197" s="16"/>
      <x:c r="W197" s="16"/>
      <x:c r="X197" s="16"/>
      <x:c r="Y197" s="16"/>
    </x:row>
    <x:row r="198">
      <x:c r="A198" s="16"/>
      <x:c r="B198" s="16"/>
      <x:c r="C198" s="16"/>
      <x:c r="D198" s="16"/>
      <x:c r="E198" s="16"/>
      <x:c r="F198" s="16"/>
      <x:c r="G198" s="16"/>
      <x:c r="H198" s="16"/>
      <x:c r="I198" s="16"/>
      <x:c r="J198" s="16"/>
      <x:c r="K198" s="16"/>
      <x:c r="L198" s="16"/>
      <x:c r="M198" s="16"/>
      <x:c r="N198" s="16"/>
      <x:c r="O198" s="16"/>
      <x:c r="P198" s="16"/>
      <x:c r="Q198" s="16"/>
      <x:c r="R198" s="16"/>
      <x:c r="S198" s="16"/>
      <x:c r="T198" s="16"/>
      <x:c r="U198" s="16"/>
      <x:c r="V198" s="16"/>
      <x:c r="W198" s="16"/>
      <x:c r="X198" s="16"/>
      <x:c r="Y198" s="16"/>
    </x:row>
    <x:row r="199">
      <x:c r="A199" s="16"/>
      <x:c r="B199" s="16"/>
      <x:c r="C199" s="16"/>
      <x:c r="D199" s="16"/>
      <x:c r="E199" s="16"/>
      <x:c r="F199" s="16"/>
      <x:c r="G199" s="16"/>
      <x:c r="H199" s="16"/>
      <x:c r="I199" s="16"/>
      <x:c r="J199" s="16"/>
      <x:c r="K199" s="16"/>
      <x:c r="L199" s="16"/>
      <x:c r="M199" s="16"/>
      <x:c r="N199" s="16"/>
      <x:c r="O199" s="16"/>
      <x:c r="P199" s="16"/>
      <x:c r="Q199" s="16"/>
      <x:c r="R199" s="16"/>
      <x:c r="S199" s="16"/>
      <x:c r="T199" s="16"/>
      <x:c r="U199" s="16"/>
      <x:c r="V199" s="16"/>
      <x:c r="W199" s="16"/>
      <x:c r="X199" s="16"/>
      <x:c r="Y199" s="16"/>
    </x:row>
    <x:row r="200">
      <x:c r="A200" s="16"/>
      <x:c r="B200" s="16"/>
      <x:c r="C200" s="16"/>
      <x:c r="D200" s="16"/>
      <x:c r="E200" s="16"/>
      <x:c r="F200" s="16"/>
      <x:c r="G200" s="16"/>
      <x:c r="H200" s="16"/>
      <x:c r="I200" s="16"/>
      <x:c r="J200" s="16"/>
      <x:c r="K200" s="16"/>
      <x:c r="L200" s="16"/>
      <x:c r="M200" s="16"/>
      <x:c r="N200" s="16"/>
      <x:c r="O200" s="16"/>
      <x:c r="P200" s="16"/>
      <x:c r="Q200" s="16"/>
      <x:c r="R200" s="16"/>
      <x:c r="S200" s="16"/>
      <x:c r="T200" s="16"/>
      <x:c r="U200" s="16"/>
      <x:c r="V200" s="16"/>
      <x:c r="W200" s="16"/>
      <x:c r="X200" s="16"/>
      <x:c r="Y200" s="16"/>
    </x:row>
  </x:sheetData>
  <x:pageMargins left="0.7" right="0.7" top="0.75" bottom="0.75" header="0.3" footer="0.3"/>
  <x:tableParts count="1">
    <x:tablePart xmlns:r="http://schemas.openxmlformats.org/officeDocument/2006/relationships" r:id="R77ec11d92092471f"/>
  </x:tableParts>
</x:worksheet>
</file>

<file path=xl/worksheets/sheet4.xml><?xml version="1.0" encoding="utf-8"?>
<x:worksheet xmlns:x="http://schemas.openxmlformats.org/spreadsheetml/2006/main">
  <x:sheetFormatPr defaultRowHeight="15"/>
  <x:cols>
    <x:col min="1" max="1" width="14" hidden="0" customWidth="1"/>
    <x:col min="2" max="2" width="17" hidden="0" customWidth="1"/>
    <x:col min="3" max="3" width="24" hidden="0" customWidth="1"/>
    <x:col min="4" max="4" width="16" hidden="0" customWidth="1"/>
    <x:col min="5" max="5" width="42" hidden="0" customWidth="1"/>
    <x:col min="6" max="6" width="9" hidden="0" customWidth="1"/>
    <x:col min="7" max="7" width="22" hidden="0" customWidth="1"/>
    <x:col min="8" max="8" width="22" hidden="0" customWidth="1"/>
    <x:col min="9" max="9" width="30" hidden="0" customWidth="1"/>
    <x:col min="10" max="10" width="18" hidden="0" customWidth="1"/>
    <x:col min="11" max="11" width="28" hidden="0" customWidth="1"/>
    <x:col min="12" max="12" width="18" hidden="0" customWidth="1"/>
    <x:col min="13" max="13" width="34" hidden="0" customWidth="1"/>
    <x:col min="14" max="14" width="34" hidden="0" customWidth="1"/>
    <x:col min="15" max="15" width="25" hidden="0" customWidth="1"/>
    <x:col min="16" max="16" width="38" hidden="0" customWidth="1"/>
    <x:col min="17" max="17" width="38" hidden="0" customWidth="1"/>
    <x:col min="18" max="18" width="12" hidden="0" customWidth="1"/>
    <x:col min="19" max="19" width="26" hidden="0" customWidth="1"/>
    <x:col min="20" max="20" width="16" hidden="0" customWidth="1"/>
    <x:col min="21" max="21" width="20" hidden="0" customWidth="1"/>
    <x:col min="22" max="22" width="20" hidden="0" customWidth="1"/>
    <x:col min="23" max="23" width="22" hidden="0" customWidth="1"/>
    <x:col min="24" max="24" width="32" hidden="0" customWidth="1"/>
    <x:col min="25" max="25" width="16" hidden="0" customWidth="1"/>
  </x:cols>
  <x:sheetData>
    <x:row r="1">
      <x:c r="A1" s="5" t="str">
        <x:v>Record ID</x:v>
      </x:c>
      <x:c r="B1" s="5" t="str">
        <x:v>Evidence Relevance Tier</x:v>
      </x:c>
      <x:c r="C1" s="5" t="str">
        <x:v>Primary Category</x:v>
      </x:c>
      <x:c r="D1" s="5" t="str">
        <x:v>Record Type</x:v>
      </x:c>
      <x:c r="E1" s="5" t="str">
        <x:v>Title / Dataset</x:v>
      </x:c>
      <x:c r="F1" s="5" t="str">
        <x:v>Year</x:v>
      </x:c>
      <x:c r="G1" s="5" t="str">
        <x:v>Primary Authors / Source</x:v>
      </x:c>
      <x:c r="H1" s="5" t="str">
        <x:v>Institution / Dataset Owner</x:v>
      </x:c>
      <x:c r="I1" s="5" t="str">
        <x:v>Modalities / Signals</x:v>
      </x:c>
      <x:c r="J1" s="5" t="str">
        <x:v>Interaction Level</x:v>
      </x:c>
      <x:c r="K1" s="5" t="str">
        <x:v>Task / Paradigm</x:v>
      </x:c>
      <x:c r="L1" s="5" t="str">
        <x:v>Access Status</x:v>
      </x:c>
      <x:c r="M1" s="5" t="str">
        <x:v>Dataset / Access URL</x:v>
      </x:c>
      <x:c r="N1" s="5" t="str">
        <x:v>Paper / Reference URL</x:v>
      </x:c>
      <x:c r="O1" s="5" t="str">
        <x:v>Evidence Role</x:v>
      </x:c>
      <x:c r="P1" s="5" t="str">
        <x:v>Relevance to Synchronized Decision-Making</x:v>
      </x:c>
      <x:c r="Q1" s="5" t="str">
        <x:v>Key Difference vs Proposed ARL Dataset</x:v>
      </x:c>
      <x:c r="R1" s="5" t="str">
        <x:v>Priority</x:v>
      </x:c>
      <x:c r="S1" s="5" t="str">
        <x:v>Verification Status</x:v>
      </x:c>
      <x:c r="T1" s="5" t="str">
        <x:v>Reading Status</x:v>
      </x:c>
      <x:c r="U1" s="5" t="str">
        <x:v>Discovery Method</x:v>
      </x:c>
      <x:c r="V1" s="5" t="str">
        <x:v>Systematic Review Eligibility</x:v>
      </x:c>
      <x:c r="W1" s="5" t="str">
        <x:v>Exclusion Reason</x:v>
      </x:c>
      <x:c r="X1" s="5" t="str">
        <x:v>Notes</x:v>
      </x:c>
      <x:c r="Y1" s="5" t="str">
        <x:v>Source Verified Date</x:v>
      </x:c>
    </x:row>
    <x:row r="2">
      <x:c r="A2" s="16" t="str">
        <x:v>MDMER-0034</x:v>
      </x:c>
      <x:c r="B2" s="16" t="str">
        <x:v>Tier 3</x:v>
      </x:c>
      <x:c r="C2" s="16" t="str">
        <x:v>Decision/social neuroscience</x:v>
      </x:c>
      <x:c r="D2" s="16" t="str">
        <x:v>Research paper</x:v>
      </x:c>
      <x:c r="E2" s="16" t="str">
        <x:v>Cortical Activity and Connectivity During Prisoner's Dilemma: An EEG Hyperscanning Study</x:v>
      </x:c>
      <x:c r="F2" s="16" t="n">
        <x:v>2007</x:v>
      </x:c>
      <x:c r="G2" s="16" t="str">
        <x:v>Babiloni et al.</x:v>
      </x:c>
      <x:c r="H2" s="16" t="str"/>
      <x:c r="I2" s="16" t="str">
        <x:v>EEG hyperscanning</x:v>
      </x:c>
      <x:c r="J2" s="16" t="str">
        <x:v>Multiple participants</x:v>
      </x:c>
      <x:c r="K2" s="16" t="str">
        <x:v>Prisoner's dilemma</x:v>
      </x:c>
      <x:c r="L2" s="16" t="str">
        <x:v>Publication only</x:v>
      </x:c>
      <x:c r="M2" s="16" t="str"/>
      <x:c r="N2" s="16" t="str">
        <x:v>https://pubmed.ncbi.nlm.nih.gov/18003118/</x:v>
      </x:c>
      <x:c r="O2" s="16" t="str">
        <x:v>Decision-Making Comparator</x:v>
      </x:c>
      <x:c r="P2" s="16" t="str">
        <x:v>Classic EEG hyperscanning decision-making study.</x:v>
      </x:c>
      <x:c r="Q2" s="16" t="str">
        <x:v>Not public multimodal dataset; no multimodal signals.</x:v>
      </x:c>
      <x:c r="R2" s="16" t="str">
        <x:v>High</x:v>
      </x:c>
      <x:c r="S2" s="16" t="str">
        <x:v>Legacy entry — re-verification required</x:v>
      </x:c>
      <x:c r="T2" s="16" t="str">
        <x:v>Not read</x:v>
      </x:c>
      <x:c r="U2" s="16" t="str">
        <x:v>Existing ARL literature</x:v>
      </x:c>
      <x:c r="V2" s="16" t="str">
        <x:v>Pending</x:v>
      </x:c>
      <x:c r="W2" s="16" t="str"/>
      <x:c r="X2" s="16" t="str">
        <x:v>Conceptually important</x:v>
      </x:c>
      <x:c r="Y2" s="16" t="str"/>
    </x:row>
    <x:row r="3">
      <x:c r="A3" s="16" t="str">
        <x:v>MDMER-0036</x:v>
      </x:c>
      <x:c r="B3" s="16" t="str">
        <x:v>Tier 3</x:v>
      </x:c>
      <x:c r="C3" s="16" t="str">
        <x:v>Decision/social neuroscience</x:v>
      </x:c>
      <x:c r="D3" s="16" t="str">
        <x:v>Research paper</x:v>
      </x:c>
      <x:c r="E3" s="16" t="str">
        <x:v>EEG Hyperscanning Reveals Dynamic Interbrain Network Reorganization During Social Decision-Making</x:v>
      </x:c>
      <x:c r="F3" s="16" t="n">
        <x:v>2026</x:v>
      </x:c>
      <x:c r="G3" s="16" t="str">
        <x:v>Li et al.</x:v>
      </x:c>
      <x:c r="H3" s="16" t="str"/>
      <x:c r="I3" s="16" t="str">
        <x:v>EEG hyperscanning</x:v>
      </x:c>
      <x:c r="J3" s="16" t="str">
        <x:v>Dyads/groups depending task</x:v>
      </x:c>
      <x:c r="K3" s="16" t="str">
        <x:v>Social decision-making</x:v>
      </x:c>
      <x:c r="L3" s="16" t="str">
        <x:v>Publication only</x:v>
      </x:c>
      <x:c r="M3" s="16" t="str"/>
      <x:c r="N3" s="16" t="str">
        <x:v>https://www.nature.com/articles/s42003-026-09852-z</x:v>
      </x:c>
      <x:c r="O3" s="16" t="str">
        <x:v>Decision-Making Comparator</x:v>
      </x:c>
      <x:c r="P3" s="16" t="str">
        <x:v>Recent social decision EEG hyperscanning paper.</x:v>
      </x:c>
      <x:c r="Q3" s="16" t="str">
        <x:v>Not dataset/platform-focused; exact access to data uncertain.</x:v>
      </x:c>
      <x:c r="R3" s="16" t="str">
        <x:v>Medium</x:v>
      </x:c>
      <x:c r="S3" s="16" t="str">
        <x:v>Legacy entry — re-verification required</x:v>
      </x:c>
      <x:c r="T3" s="16" t="str">
        <x:v>Not read</x:v>
      </x:c>
      <x:c r="U3" s="16" t="str">
        <x:v>Existing ARL literature</x:v>
      </x:c>
      <x:c r="V3" s="16" t="str">
        <x:v>Pending</x:v>
      </x:c>
      <x:c r="W3" s="16" t="str"/>
      <x:c r="X3" s="16" t="str">
        <x:v>Modern theoretical reference</x:v>
      </x:c>
      <x:c r="Y3" s="16" t="str"/>
    </x:row>
    <x:row r="4">
      <x:c r="A4" s="16" t="str">
        <x:v>MDMER-0039</x:v>
      </x:c>
      <x:c r="B4" s="16" t="str">
        <x:v>Tier 3</x:v>
      </x:c>
      <x:c r="C4" s="16" t="str">
        <x:v>Decision/social neuroscience</x:v>
      </x:c>
      <x:c r="D4" s="16" t="str">
        <x:v>Research paper</x:v>
      </x:c>
      <x:c r="E4" s="16" t="str">
        <x:v>Neural Decoding of Competitive Decision-Making in Rock–Paper–Scissors</x:v>
      </x:c>
      <x:c r="F4" s="16" t="n">
        <x:v>2025</x:v>
      </x:c>
      <x:c r="G4" s="16" t="str">
        <x:v>Moerel et al.</x:v>
      </x:c>
      <x:c r="H4" s="16" t="str"/>
      <x:c r="I4" s="16" t="str">
        <x:v>EEG hyperscanning</x:v>
      </x:c>
      <x:c r="J4" s="16" t="str">
        <x:v>Dyads</x:v>
      </x:c>
      <x:c r="K4" s="16" t="str">
        <x:v>Competitive Rock-Paper-Scissors</x:v>
      </x:c>
      <x:c r="L4" s="16" t="str">
        <x:v>Publication only</x:v>
      </x:c>
      <x:c r="M4" s="16" t="str"/>
      <x:c r="N4" s="16" t="str">
        <x:v>https://boa.unimib.it/retrieve/77d8308f-f97c-4d5d-ad41-f4b1967f573c/Moerel%20et%20al-2025-Social%20Cognitive%20and%20Affective%20Neuroscience-VoR.pdf</x:v>
      </x:c>
      <x:c r="O4" s="16" t="str">
        <x:v>Decision-Making Comparator</x:v>
      </x:c>
      <x:c r="P4" s="16" t="str">
        <x:v>Recent competitive decision EEG hyperscanning reference.</x:v>
      </x:c>
      <x:c r="Q4" s="16" t="str">
        <x:v>No full multimodal dataset; dyads only.</x:v>
      </x:c>
      <x:c r="R4" s="16" t="str">
        <x:v>Medium</x:v>
      </x:c>
      <x:c r="S4" s="16" t="str">
        <x:v>Legacy entry — re-verification required</x:v>
      </x:c>
      <x:c r="T4" s="16" t="str">
        <x:v>Not read</x:v>
      </x:c>
      <x:c r="U4" s="16" t="str">
        <x:v>Existing ARL literature</x:v>
      </x:c>
      <x:c r="V4" s="16" t="str">
        <x:v>Pending</x:v>
      </x:c>
      <x:c r="W4" s="16" t="str"/>
      <x:c r="X4" s="16" t="str">
        <x:v>Useful for classifier framing</x:v>
      </x:c>
      <x:c r="Y4" s="16" t="str"/>
    </x:row>
    <x:row r="5">
      <x:c r="A5" s="16" t="str">
        <x:v>MDMER-0044</x:v>
      </x:c>
      <x:c r="B5" s="16" t="str">
        <x:v>Tier 3</x:v>
      </x:c>
      <x:c r="C5" s="16" t="str">
        <x:v>Deception/social deduction</x:v>
      </x:c>
      <x:c r="D5" s="16" t="str">
        <x:v>Research paper</x:v>
      </x:c>
      <x:c r="E5" s="16" t="str">
        <x:v>Werewolf Among Us: Multimodal Resources for Social Deduction</x:v>
      </x:c>
      <x:c r="F5" s="16" t="n">
        <x:v>2023</x:v>
      </x:c>
      <x:c r="G5" s="16" t="str">
        <x:v>Lai et al.</x:v>
      </x:c>
      <x:c r="H5" s="16" t="str"/>
      <x:c r="I5" s="16" t="str">
        <x:v>Video; dialogue/text; game logs</x:v>
      </x:c>
      <x:c r="J5" s="16" t="str">
        <x:v>Groups</x:v>
      </x:c>
      <x:c r="K5" s="16" t="str">
        <x:v>One Night Ultimate Werewolf / Among Us</x:v>
      </x:c>
      <x:c r="L5" s="16" t="str">
        <x:v>Research/public depending subset</x:v>
      </x:c>
      <x:c r="M5" s="16" t="str"/>
      <x:c r="N5" s="16" t="str">
        <x:v>https://aclanthology.org/2023.findings-acl.411.pdf</x:v>
      </x:c>
      <x:c r="O5" s="16" t="str">
        <x:v>Decision-Making Comparator</x:v>
      </x:c>
      <x:c r="P5" s="16" t="str">
        <x:v>Closest social deduction/gameplay reference.</x:v>
      </x:c>
      <x:c r="Q5" s="16" t="str">
        <x:v>No physiology; sourced from videos/games not lab acquisition.</x:v>
      </x:c>
      <x:c r="R5" s="16" t="str">
        <x:v>High</x:v>
      </x:c>
      <x:c r="S5" s="16" t="str">
        <x:v>Legacy entry — re-verification required</x:v>
      </x:c>
      <x:c r="T5" s="16" t="str">
        <x:v>Not read</x:v>
      </x:c>
      <x:c r="U5" s="16" t="str">
        <x:v>Existing ARL literature</x:v>
      </x:c>
      <x:c r="V5" s="16" t="str">
        <x:v>Pending</x:v>
      </x:c>
      <x:c r="W5" s="16" t="str"/>
      <x:c r="X5" s="16" t="str">
        <x:v>Important conceptual citation</x:v>
      </x:c>
      <x:c r="Y5" s="16" t="str"/>
    </x:row>
    <x:row r="6">
      <x:c r="A6" s="16" t="str">
        <x:v>MDMER-0045</x:v>
      </x:c>
      <x:c r="B6" s="16" t="str">
        <x:v>Tier 3</x:v>
      </x:c>
      <x:c r="C6" s="16" t="str">
        <x:v>Deception/social deduction</x:v>
      </x:c>
      <x:c r="D6" s="16" t="str">
        <x:v>Research paper</x:v>
      </x:c>
      <x:c r="E6" s="16" t="str">
        <x:v>Finding Deceivers in Social Context with Large Language Models</x:v>
      </x:c>
      <x:c r="F6" s="16" t="n">
        <x:v>2024</x:v>
      </x:c>
      <x:c r="G6" s="16" t="str">
        <x:v>Yoo et al.</x:v>
      </x:c>
      <x:c r="H6" s="16" t="str"/>
      <x:c r="I6" s="16" t="str">
        <x:v>Conversation/text; game context</x:v>
      </x:c>
      <x:c r="J6" s="16" t="str">
        <x:v>Groups</x:v>
      </x:c>
      <x:c r="K6" s="16" t="str">
        <x:v>Mafia/social deduction</x:v>
      </x:c>
      <x:c r="L6" s="16" t="str">
        <x:v>Publication/data uncertain</x:v>
      </x:c>
      <x:c r="M6" s="16" t="str"/>
      <x:c r="N6" s="16" t="str">
        <x:v>https://www.nature.com/articles/s41598-024-81997-5</x:v>
      </x:c>
      <x:c r="O6" s="16" t="str">
        <x:v>Decision-Making Comparator</x:v>
      </x:c>
      <x:c r="P6" s="16" t="str">
        <x:v>Directly relevant to social-context deceiver detection.</x:v>
      </x:c>
      <x:c r="Q6" s="16" t="str">
        <x:v>No physiology/acquisition platform.</x:v>
      </x:c>
      <x:c r="R6" s="16" t="str">
        <x:v>Medium</x:v>
      </x:c>
      <x:c r="S6" s="16" t="str">
        <x:v>Legacy entry — re-verification required</x:v>
      </x:c>
      <x:c r="T6" s="16" t="str">
        <x:v>Not read</x:v>
      </x:c>
      <x:c r="U6" s="16" t="str">
        <x:v>Existing ARL literature</x:v>
      </x:c>
      <x:c r="V6" s="16" t="str">
        <x:v>Pending</x:v>
      </x:c>
      <x:c r="W6" s="16" t="str"/>
      <x:c r="X6" s="16" t="str">
        <x:v>Good AI arbitration link</x:v>
      </x:c>
      <x:c r="Y6" s="16" t="str"/>
    </x:row>
    <x:row r="7">
      <x:c r="A7" s="16" t="str">
        <x:v>MDMER-0048</x:v>
      </x:c>
      <x:c r="B7" s="16" t="str">
        <x:v>Tier 3</x:v>
      </x:c>
      <x:c r="C7" s="16" t="str">
        <x:v>Deception/social deduction</x:v>
      </x:c>
      <x:c r="D7" s="16" t="str">
        <x:v>Research paper</x:v>
      </x:c>
      <x:c r="E7" s="16" t="str">
        <x:v>Evaluating LLMs in Social Deduction Games with Human Multimodal Werewolf Data</x:v>
      </x:c>
      <x:c r="F7" s="16" t="n">
        <x:v>2026</x:v>
      </x:c>
      <x:c r="G7" s="16" t="str">
        <x:v>Authors TBD</x:v>
      </x:c>
      <x:c r="H7" s="16" t="str"/>
      <x:c r="I7" s="16" t="str">
        <x:v>Video; utterances; rule variants</x:v>
      </x:c>
      <x:c r="J7" s="16" t="str">
        <x:v>Groups</x:v>
      </x:c>
      <x:c r="K7" s="16" t="str">
        <x:v>Werewolf/social deduction</x:v>
      </x:c>
      <x:c r="L7" s="16" t="str">
        <x:v>Publication/data uncertain</x:v>
      </x:c>
      <x:c r="M7" s="16" t="str"/>
      <x:c r="N7" s="16" t="str">
        <x:v>https://arxiv.org/html/2510.11389v1</x:v>
      </x:c>
      <x:c r="O7" s="16" t="str">
        <x:v>Decision-Making Comparator</x:v>
      </x:c>
      <x:c r="P7" s="16" t="str">
        <x:v>Very relevant emerging multimodal social-deduction direction.</x:v>
      </x:c>
      <x:c r="Q7" s="16" t="str">
        <x:v>Likely no physiology; needs verification due preprint status.</x:v>
      </x:c>
      <x:c r="R7" s="16" t="str">
        <x:v>Medium</x:v>
      </x:c>
      <x:c r="S7" s="16" t="str">
        <x:v>Legacy entry — re-verification required</x:v>
      </x:c>
      <x:c r="T7" s="16" t="str">
        <x:v>To verify</x:v>
      </x:c>
      <x:c r="U7" s="16" t="str">
        <x:v>Existing ARL literature</x:v>
      </x:c>
      <x:c r="V7" s="16" t="str">
        <x:v>Pending</x:v>
      </x:c>
      <x:c r="W7" s="16" t="str"/>
      <x:c r="X7" s="16" t="str">
        <x:v>Recent field direction</x:v>
      </x:c>
      <x:c r="Y7" s="16" t="str"/>
    </x:row>
    <x:row r="8">
      <x:c r="A8" s="16" t="str">
        <x:v>MDMER-0082</x:v>
      </x:c>
      <x:c r="B8" s="16" t="str">
        <x:v>Tier 3</x:v>
      </x:c>
      <x:c r="C8" s="16" t="str">
        <x:v>Decision making</x:v>
      </x:c>
      <x:c r="D8" s="16" t="str">
        <x:v>Research paper</x:v>
      </x:c>
      <x:c r="E8" s="16" t="str">
        <x:v>Neural Mechanisms of Decision Making under Risk and Ambiguity</x:v>
      </x:c>
      <x:c r="F8" s="16" t="n">
        <x:v>2005</x:v>
      </x:c>
      <x:c r="G8" s="16" t="str">
        <x:v>Hsu et al.</x:v>
      </x:c>
      <x:c r="H8" s="16" t="str"/>
      <x:c r="I8" s="16" t="str">
        <x:v>fMRI; behavior</x:v>
      </x:c>
      <x:c r="J8" s="16" t="str">
        <x:v>Individual</x:v>
      </x:c>
      <x:c r="K8" s="16" t="str">
        <x:v>Risk/ambiguity choice</x:v>
      </x:c>
      <x:c r="L8" s="16" t="str">
        <x:v>Article</x:v>
      </x:c>
      <x:c r="M8" s="16" t="str"/>
      <x:c r="N8" s="16" t="str">
        <x:v>https://scholar.google.com/scholar?q=Neural+systems+responding+to+degrees+of+uncertainty+in+human+decision-making</x:v>
      </x:c>
      <x:c r="O8" s="16" t="str">
        <x:v>Background evidence</x:v>
      </x:c>
      <x:c r="P8" s="16" t="str">
        <x:v>Foundational uncertainty/ambiguity framework for ARL decisions.</x:v>
      </x:c>
      <x:c r="Q8" s="16" t="str">
        <x:v>Requires structured comparison against ARL sensing, interaction, decision, and synchronization features.</x:v>
      </x:c>
      <x:c r="R8" s="16" t="str">
        <x:v>High</x:v>
      </x:c>
      <x:c r="S8" s="16" t="str">
        <x:v>Candidate — needs primary-source verification</x:v>
      </x:c>
      <x:c r="T8" s="16" t="str">
        <x:v>Not read</x:v>
      </x:c>
      <x:c r="U8" s="16" t="str">
        <x:v>Targeted literature expansion</x:v>
      </x:c>
      <x:c r="V8" s="16" t="str">
        <x:v>Pending</x:v>
      </x:c>
      <x:c r="W8" s="16" t="str"/>
      <x:c r="X8" s="16" t="str">
        <x:v>Added during expansion from 50 to 150 records.</x:v>
      </x:c>
      <x:c r="Y8" s="16" t="str"/>
    </x:row>
    <x:row r="9">
      <x:c r="A9" s="16" t="str">
        <x:v>MDMER-0083</x:v>
      </x:c>
      <x:c r="B9" s="16" t="str">
        <x:v>Tier 3</x:v>
      </x:c>
      <x:c r="C9" s="16" t="str">
        <x:v>Decision making</x:v>
      </x:c>
      <x:c r="D9" s="16" t="str">
        <x:v>Research paper</x:v>
      </x:c>
      <x:c r="E9" s="16" t="str">
        <x:v>Neural Systems Responding to Degrees of Uncertainty in Human Decision-Making</x:v>
      </x:c>
      <x:c r="F9" s="16" t="n">
        <x:v>2005</x:v>
      </x:c>
      <x:c r="G9" s="16" t="str">
        <x:v>Huettel et al.</x:v>
      </x:c>
      <x:c r="H9" s="16" t="str"/>
      <x:c r="I9" s="16" t="str">
        <x:v>fMRI; behavior</x:v>
      </x:c>
      <x:c r="J9" s="16" t="str">
        <x:v>Individual</x:v>
      </x:c>
      <x:c r="K9" s="16" t="str">
        <x:v>Decision uncertainty</x:v>
      </x:c>
      <x:c r="L9" s="16" t="str">
        <x:v>Article</x:v>
      </x:c>
      <x:c r="M9" s="16" t="str"/>
      <x:c r="N9" s="16" t="str">
        <x:v>https://scholar.google.com/scholar?q=Neural+signatures+of+economic+preferences+for+risk+and+ambiguity</x:v>
      </x:c>
      <x:c r="O9" s="16" t="str">
        <x:v>Background evidence</x:v>
      </x:c>
      <x:c r="P9" s="16" t="str">
        <x:v>Foundational uncertainty neuroscience.</x:v>
      </x:c>
      <x:c r="Q9" s="16" t="str">
        <x:v>Requires structured comparison against ARL sensing, interaction, decision, and synchronization features.</x:v>
      </x:c>
      <x:c r="R9" s="16" t="str">
        <x:v>High</x:v>
      </x:c>
      <x:c r="S9" s="16" t="str">
        <x:v>Candidate — needs primary-source verification</x:v>
      </x:c>
      <x:c r="T9" s="16" t="str">
        <x:v>Not read</x:v>
      </x:c>
      <x:c r="U9" s="16" t="str">
        <x:v>Targeted literature expansion</x:v>
      </x:c>
      <x:c r="V9" s="16" t="str">
        <x:v>Pending</x:v>
      </x:c>
      <x:c r="W9" s="16" t="str"/>
      <x:c r="X9" s="16" t="str">
        <x:v>Added during expansion from 50 to 150 records.</x:v>
      </x:c>
      <x:c r="Y9" s="16" t="str"/>
    </x:row>
    <x:row r="10">
      <x:c r="A10" s="16" t="str">
        <x:v>MDMER-0084</x:v>
      </x:c>
      <x:c r="B10" s="16" t="str">
        <x:v>Tier 3</x:v>
      </x:c>
      <x:c r="C10" s="16" t="str">
        <x:v>Decision making</x:v>
      </x:c>
      <x:c r="D10" s="16" t="str">
        <x:v>Research paper</x:v>
      </x:c>
      <x:c r="E10" s="16" t="str">
        <x:v>The Neural Basis of Loss Aversion in Decision-Making under Risk</x:v>
      </x:c>
      <x:c r="F10" s="16" t="n">
        <x:v>2007</x:v>
      </x:c>
      <x:c r="G10" s="16" t="str">
        <x:v>Tom et al.</x:v>
      </x:c>
      <x:c r="H10" s="16" t="str"/>
      <x:c r="I10" s="16" t="str">
        <x:v>fMRI; behavior</x:v>
      </x:c>
      <x:c r="J10" s="16" t="str">
        <x:v>Individual</x:v>
      </x:c>
      <x:c r="K10" s="16" t="str">
        <x:v>Risky choice</x:v>
      </x:c>
      <x:c r="L10" s="16" t="str">
        <x:v>Article</x:v>
      </x:c>
      <x:c r="M10" s="16" t="str"/>
      <x:c r="N10" s="16" t="str">
        <x:v>https://scholar.google.com/scholar?q=The+neural+basis+of+loss+aversion+in+decision-making+under+risk</x:v>
      </x:c>
      <x:c r="O10" s="16" t="str">
        <x:v>Background evidence</x:v>
      </x:c>
      <x:c r="P10" s="16" t="str">
        <x:v>Classic decision neuroscience comparator.</x:v>
      </x:c>
      <x:c r="Q10" s="16" t="str">
        <x:v>Requires structured comparison against ARL sensing, interaction, decision, and synchronization features.</x:v>
      </x:c>
      <x:c r="R10" s="16" t="str">
        <x:v>Medium</x:v>
      </x:c>
      <x:c r="S10" s="16" t="str">
        <x:v>Candidate — needs primary-source verification</x:v>
      </x:c>
      <x:c r="T10" s="16" t="str">
        <x:v>Not read</x:v>
      </x:c>
      <x:c r="U10" s="16" t="str">
        <x:v>Targeted literature expansion</x:v>
      </x:c>
      <x:c r="V10" s="16" t="str">
        <x:v>Pending</x:v>
      </x:c>
      <x:c r="W10" s="16" t="str"/>
      <x:c r="X10" s="16" t="str">
        <x:v>Added during expansion from 50 to 150 records.</x:v>
      </x:c>
      <x:c r="Y10" s="16" t="str"/>
    </x:row>
    <x:row r="11">
      <x:c r="A11" s="16" t="str">
        <x:v>MDMER-0085</x:v>
      </x:c>
      <x:c r="B11" s="16" t="str">
        <x:v>Tier 3</x:v>
      </x:c>
      <x:c r="C11" s="16" t="str">
        <x:v>Decision making</x:v>
      </x:c>
      <x:c r="D11" s="16" t="str">
        <x:v>Research paper</x:v>
      </x:c>
      <x:c r="E11" s="16" t="str">
        <x:v>Single-Trial EEG Correlates of Confidence and Error Awareness in Perceptual Decision Making</x:v>
      </x:c>
      <x:c r="F11" s="16" t="n">
        <x:v>2010</x:v>
      </x:c>
      <x:c r="G11" s="16" t="str">
        <x:v>Multiple authors</x:v>
      </x:c>
      <x:c r="H11" s="16" t="str"/>
      <x:c r="I11" s="16" t="str">
        <x:v>EEG; behavior; confidence</x:v>
      </x:c>
      <x:c r="J11" s="16" t="str">
        <x:v>Individual</x:v>
      </x:c>
      <x:c r="K11" s="16" t="str">
        <x:v>Perceptual decisions</x:v>
      </x:c>
      <x:c r="L11" s="16" t="str">
        <x:v>Article</x:v>
      </x:c>
      <x:c r="M11" s="16" t="str"/>
      <x:c r="N11" s="16" t="str">
        <x:v>https://scholar.google.com/scholar?q=EEG+confidence+perceptual+decision+making+single+trial</x:v>
      </x:c>
      <x:c r="O11" s="16" t="str">
        <x:v>Decision-making comparator</x:v>
      </x:c>
      <x:c r="P11" s="16" t="str">
        <x:v>Direct confidence-linked EEG evidence.</x:v>
      </x:c>
      <x:c r="Q11" s="16" t="str">
        <x:v>Requires structured comparison against ARL sensing, interaction, decision, and synchronization features.</x:v>
      </x:c>
      <x:c r="R11" s="16" t="str">
        <x:v>High</x:v>
      </x:c>
      <x:c r="S11" s="16" t="str">
        <x:v>Candidate — needs primary-source verification</x:v>
      </x:c>
      <x:c r="T11" s="16" t="str">
        <x:v>Not read</x:v>
      </x:c>
      <x:c r="U11" s="16" t="str">
        <x:v>Targeted literature expansion</x:v>
      </x:c>
      <x:c r="V11" s="16" t="str">
        <x:v>Pending</x:v>
      </x:c>
      <x:c r="W11" s="16" t="str"/>
      <x:c r="X11" s="16" t="str">
        <x:v>Added during expansion from 50 to 150 records.</x:v>
      </x:c>
      <x:c r="Y11" s="16" t="str"/>
    </x:row>
    <x:row r="12">
      <x:c r="A12" s="16" t="str">
        <x:v>MDMER-0086</x:v>
      </x:c>
      <x:c r="B12" s="16" t="str">
        <x:v>Tier 3</x:v>
      </x:c>
      <x:c r="C12" s="16" t="str">
        <x:v>Decision making</x:v>
      </x:c>
      <x:c r="D12" s="16" t="str">
        <x:v>Research paper</x:v>
      </x:c>
      <x:c r="E12" s="16" t="str">
        <x:v>Neural Correlates of Decision Confidence</x:v>
      </x:c>
      <x:c r="F12" s="16" t="n">
        <x:v>2012</x:v>
      </x:c>
      <x:c r="G12" s="16" t="str">
        <x:v>Kepecs et al./related literature</x:v>
      </x:c>
      <x:c r="H12" s="16" t="str"/>
      <x:c r="I12" s="16" t="str">
        <x:v>EEG/fMRI; behavior</x:v>
      </x:c>
      <x:c r="J12" s="16" t="str">
        <x:v>Individual</x:v>
      </x:c>
      <x:c r="K12" s="16" t="str">
        <x:v>Confidence judgment</x:v>
      </x:c>
      <x:c r="L12" s="16" t="str">
        <x:v>Article</x:v>
      </x:c>
      <x:c r="M12" s="16" t="str"/>
      <x:c r="N12" s="16" t="str">
        <x:v>https://scholar.google.com/scholar?q=neural+correlates+of+decision+confidence+human+EEG</x:v>
      </x:c>
      <x:c r="O12" s="16" t="str">
        <x:v>Decision-making comparator</x:v>
      </x:c>
      <x:c r="P12" s="16" t="str">
        <x:v>Supports confidence as a measurable cognitive variable.</x:v>
      </x:c>
      <x:c r="Q12" s="16" t="str">
        <x:v>Requires structured comparison against ARL sensing, interaction, decision, and synchronization features.</x:v>
      </x:c>
      <x:c r="R12" s="16" t="str">
        <x:v>High</x:v>
      </x:c>
      <x:c r="S12" s="16" t="str">
        <x:v>Candidate — needs primary-source verification</x:v>
      </x:c>
      <x:c r="T12" s="16" t="str">
        <x:v>Not read</x:v>
      </x:c>
      <x:c r="U12" s="16" t="str">
        <x:v>Targeted literature expansion</x:v>
      </x:c>
      <x:c r="V12" s="16" t="str">
        <x:v>Pending</x:v>
      </x:c>
      <x:c r="W12" s="16" t="str"/>
      <x:c r="X12" s="16" t="str">
        <x:v>Added during expansion from 50 to 150 records.</x:v>
      </x:c>
      <x:c r="Y12" s="16" t="str"/>
    </x:row>
    <x:row r="13">
      <x:c r="A13" s="16" t="str">
        <x:v>MDMER-0087</x:v>
      </x:c>
      <x:c r="B13" s="16" t="str">
        <x:v>Tier 3</x:v>
      </x:c>
      <x:c r="C13" s="16" t="str">
        <x:v>Decision making</x:v>
      </x:c>
      <x:c r="D13" s="16" t="str">
        <x:v>Research paper</x:v>
      </x:c>
      <x:c r="E13" s="16" t="str">
        <x:v>Post-Decision Wagering and Confidence in Perceptual Decisions</x:v>
      </x:c>
      <x:c r="F13" s="16" t="n">
        <x:v>2006</x:v>
      </x:c>
      <x:c r="G13" s="16" t="str">
        <x:v>Persaud et al.</x:v>
      </x:c>
      <x:c r="H13" s="16" t="str"/>
      <x:c r="I13" s="16" t="str">
        <x:v>Behavior</x:v>
      </x:c>
      <x:c r="J13" s="16" t="str">
        <x:v>Individual</x:v>
      </x:c>
      <x:c r="K13" s="16" t="str">
        <x:v>Confidence / awareness</x:v>
      </x:c>
      <x:c r="L13" s="16" t="str">
        <x:v>Article</x:v>
      </x:c>
      <x:c r="M13" s="16" t="str"/>
      <x:c r="N13" s="16" t="str">
        <x:v>https://scholar.google.com/scholar?q=Post-decision+wagering+objectively+measures+awareness</x:v>
      </x:c>
      <x:c r="O13" s="16" t="str">
        <x:v>Background evidence</x:v>
      </x:c>
      <x:c r="P13" s="16" t="str">
        <x:v>Methodological precedent for confidence reporting.</x:v>
      </x:c>
      <x:c r="Q13" s="16" t="str">
        <x:v>Requires structured comparison against ARL sensing, interaction, decision, and synchronization features.</x:v>
      </x:c>
      <x:c r="R13" s="16" t="str">
        <x:v>Medium</x:v>
      </x:c>
      <x:c r="S13" s="16" t="str">
        <x:v>Candidate — needs primary-source verification</x:v>
      </x:c>
      <x:c r="T13" s="16" t="str">
        <x:v>Not read</x:v>
      </x:c>
      <x:c r="U13" s="16" t="str">
        <x:v>Targeted literature expansion</x:v>
      </x:c>
      <x:c r="V13" s="16" t="str">
        <x:v>Pending</x:v>
      </x:c>
      <x:c r="W13" s="16" t="str"/>
      <x:c r="X13" s="16" t="str">
        <x:v>Added during expansion from 50 to 150 records.</x:v>
      </x:c>
      <x:c r="Y13" s="16" t="str"/>
    </x:row>
    <x:row r="14">
      <x:c r="A14" s="16" t="str">
        <x:v>MDMER-0088</x:v>
      </x:c>
      <x:c r="B14" s="16" t="str">
        <x:v>Tier 3</x:v>
      </x:c>
      <x:c r="C14" s="16" t="str">
        <x:v>Decision making</x:v>
      </x:c>
      <x:c r="D14" s="16" t="str">
        <x:v>Research paper</x:v>
      </x:c>
      <x:c r="E14" s="16" t="str">
        <x:v>The Neural Basis of Metacognitive Confidence</x:v>
      </x:c>
      <x:c r="F14" s="16" t="n">
        <x:v>2014</x:v>
      </x:c>
      <x:c r="G14" s="16" t="str">
        <x:v>Fleming &amp; Dolan</x:v>
      </x:c>
      <x:c r="H14" s="16" t="str"/>
      <x:c r="I14" s="16" t="str">
        <x:v>fMRI/behavior review</x:v>
      </x:c>
      <x:c r="J14" s="16" t="str">
        <x:v>Individual</x:v>
      </x:c>
      <x:c r="K14" s="16" t="str">
        <x:v>Confidence / metacognition</x:v>
      </x:c>
      <x:c r="L14" s="16" t="str">
        <x:v>Article</x:v>
      </x:c>
      <x:c r="M14" s="16" t="str"/>
      <x:c r="N14" s="16" t="str">
        <x:v>https://scholar.google.com/scholar?q=The+neural+basis+of+metacognitive+ability</x:v>
      </x:c>
      <x:c r="O14" s="16" t="str">
        <x:v>Background evidence</x:v>
      </x:c>
      <x:c r="P14" s="16" t="str">
        <x:v>Theoretical basis for confidence ratings.</x:v>
      </x:c>
      <x:c r="Q14" s="16" t="str">
        <x:v>Requires structured comparison against ARL sensing, interaction, decision, and synchronization features.</x:v>
      </x:c>
      <x:c r="R14" s="16" t="str">
        <x:v>High</x:v>
      </x:c>
      <x:c r="S14" s="16" t="str">
        <x:v>Candidate — needs primary-source verification</x:v>
      </x:c>
      <x:c r="T14" s="16" t="str">
        <x:v>Not read</x:v>
      </x:c>
      <x:c r="U14" s="16" t="str">
        <x:v>Targeted literature expansion</x:v>
      </x:c>
      <x:c r="V14" s="16" t="str">
        <x:v>Pending</x:v>
      </x:c>
      <x:c r="W14" s="16" t="str"/>
      <x:c r="X14" s="16" t="str">
        <x:v>Added during expansion from 50 to 150 records.</x:v>
      </x:c>
      <x:c r="Y14" s="16" t="str"/>
    </x:row>
    <x:row r="15">
      <x:c r="A15" s="16" t="str">
        <x:v>MDMER-0089</x:v>
      </x:c>
      <x:c r="B15" s="16" t="str">
        <x:v>Tier 1</x:v>
      </x:c>
      <x:c r="C15" s="16" t="str">
        <x:v>Decision making</x:v>
      </x:c>
      <x:c r="D15" s="16" t="str">
        <x:v>Research paper</x:v>
      </x:c>
      <x:c r="E15" s="16" t="str">
        <x:v>Frontal Midline Theta Reflects Decision Conflict and Cognitive Control</x:v>
      </x:c>
      <x:c r="F15" s="16" t="n">
        <x:v>2014</x:v>
      </x:c>
      <x:c r="G15" s="16" t="str">
        <x:v>Cavanagh &amp; Frank</x:v>
      </x:c>
      <x:c r="H15" s="16" t="str"/>
      <x:c r="I15" s="16" t="str">
        <x:v>EEG review</x:v>
      </x:c>
      <x:c r="J15" s="16" t="str">
        <x:v>Individual</x:v>
      </x:c>
      <x:c r="K15" s="16" t="str">
        <x:v>Conflict/control</x:v>
      </x:c>
      <x:c r="L15" s="16" t="str">
        <x:v>Article</x:v>
      </x:c>
      <x:c r="M15" s="16" t="str"/>
      <x:c r="N15" s="16" t="str">
        <x:v>https://scholar.google.com/scholar?q=Frontal+theta+as+a+mechanism+for+cognitive+control</x:v>
      </x:c>
      <x:c r="O15" s="16" t="str">
        <x:v>Background evidence</x:v>
      </x:c>
      <x:c r="P15" s="16" t="str">
        <x:v>Directly supports ARL frontal-theta hypothesis.</x:v>
      </x:c>
      <x:c r="Q15" s="16" t="str">
        <x:v>Requires structured comparison against ARL sensing, interaction, decision, and synchronization features.</x:v>
      </x:c>
      <x:c r="R15" s="16" t="str">
        <x:v>Must read</x:v>
      </x:c>
      <x:c r="S15" s="16" t="str">
        <x:v>Candidate — needs primary-source verification</x:v>
      </x:c>
      <x:c r="T15" s="16" t="str">
        <x:v>Not read</x:v>
      </x:c>
      <x:c r="U15" s="16" t="str">
        <x:v>Targeted literature expansion</x:v>
      </x:c>
      <x:c r="V15" s="16" t="str">
        <x:v>Pending</x:v>
      </x:c>
      <x:c r="W15" s="16" t="str"/>
      <x:c r="X15" s="16" t="str">
        <x:v>Added during expansion from 50 to 150 records.</x:v>
      </x:c>
      <x:c r="Y15" s="16" t="str"/>
    </x:row>
    <x:row r="16">
      <x:c r="A16" s="16" t="str">
        <x:v>MDMER-0090</x:v>
      </x:c>
      <x:c r="B16" s="16" t="str">
        <x:v>Tier 3</x:v>
      </x:c>
      <x:c r="C16" s="16" t="str">
        <x:v>Decision making</x:v>
      </x:c>
      <x:c r="D16" s="16" t="str">
        <x:v>Research paper</x:v>
      </x:c>
      <x:c r="E16" s="16" t="str">
        <x:v>Theta and Decision Conflict in Reinforcement Learning</x:v>
      </x:c>
      <x:c r="F16" s="16" t="n">
        <x:v>2012</x:v>
      </x:c>
      <x:c r="G16" s="16" t="str">
        <x:v>Cavanagh et al.</x:v>
      </x:c>
      <x:c r="H16" s="16" t="str"/>
      <x:c r="I16" s="16" t="str">
        <x:v>EEG; behavior</x:v>
      </x:c>
      <x:c r="J16" s="16" t="str">
        <x:v>Individual</x:v>
      </x:c>
      <x:c r="K16" s="16" t="str">
        <x:v>Reinforcement learning / conflict</x:v>
      </x:c>
      <x:c r="L16" s="16" t="str">
        <x:v>Article</x:v>
      </x:c>
      <x:c r="M16" s="16" t="str"/>
      <x:c r="N16" s="16" t="str">
        <x:v>https://scholar.google.com/scholar?q=EEG+theta+decision+conflict+reinforcement+learning+Cavanagh</x:v>
      </x:c>
      <x:c r="O16" s="16" t="str">
        <x:v>Background evidence</x:v>
      </x:c>
      <x:c r="P16" s="16" t="str">
        <x:v>Links frontal theta to conflict and adaptive decisions.</x:v>
      </x:c>
      <x:c r="Q16" s="16" t="str">
        <x:v>Requires structured comparison against ARL sensing, interaction, decision, and synchronization features.</x:v>
      </x:c>
      <x:c r="R16" s="16" t="str">
        <x:v>High</x:v>
      </x:c>
      <x:c r="S16" s="16" t="str">
        <x:v>Candidate — needs primary-source verification</x:v>
      </x:c>
      <x:c r="T16" s="16" t="str">
        <x:v>Not read</x:v>
      </x:c>
      <x:c r="U16" s="16" t="str">
        <x:v>Targeted literature expansion</x:v>
      </x:c>
      <x:c r="V16" s="16" t="str">
        <x:v>Pending</x:v>
      </x:c>
      <x:c r="W16" s="16" t="str"/>
      <x:c r="X16" s="16" t="str">
        <x:v>Added during expansion from 50 to 150 records.</x:v>
      </x:c>
      <x:c r="Y16" s="16" t="str"/>
    </x:row>
    <x:row r="17">
      <x:c r="A17" s="16" t="str">
        <x:v>MDMER-0091</x:v>
      </x:c>
      <x:c r="B17" s="16" t="str">
        <x:v>Tier 3</x:v>
      </x:c>
      <x:c r="C17" s="16" t="str">
        <x:v>Decision making</x:v>
      </x:c>
      <x:c r="D17" s="16" t="str">
        <x:v>Research paper</x:v>
      </x:c>
      <x:c r="E17" s="16" t="str">
        <x:v>Error-Related Negativity and Decision Confidence</x:v>
      </x:c>
      <x:c r="F17" s="16" t="n">
        <x:v>2015</x:v>
      </x:c>
      <x:c r="G17" s="16" t="str">
        <x:v>Multiple authors</x:v>
      </x:c>
      <x:c r="H17" s="16" t="str"/>
      <x:c r="I17" s="16" t="str">
        <x:v>EEG; behavior</x:v>
      </x:c>
      <x:c r="J17" s="16" t="str">
        <x:v>Individual</x:v>
      </x:c>
      <x:c r="K17" s="16" t="str">
        <x:v>Error monitoring/confidence</x:v>
      </x:c>
      <x:c r="L17" s="16" t="str">
        <x:v>Article</x:v>
      </x:c>
      <x:c r="M17" s="16" t="str"/>
      <x:c r="N17" s="16" t="str">
        <x:v>https://scholar.google.com/scholar?q=error+related+negativity+decision+confidence+EEG</x:v>
      </x:c>
      <x:c r="O17" s="16" t="str">
        <x:v>Decision-making comparator</x:v>
      </x:c>
      <x:c r="P17" s="16" t="str">
        <x:v>Useful for trial-level decision monitoring.</x:v>
      </x:c>
      <x:c r="Q17" s="16" t="str">
        <x:v>Requires structured comparison against ARL sensing, interaction, decision, and synchronization features.</x:v>
      </x:c>
      <x:c r="R17" s="16" t="str">
        <x:v>Medium</x:v>
      </x:c>
      <x:c r="S17" s="16" t="str">
        <x:v>Candidate — needs primary-source verification</x:v>
      </x:c>
      <x:c r="T17" s="16" t="str">
        <x:v>Not read</x:v>
      </x:c>
      <x:c r="U17" s="16" t="str">
        <x:v>Targeted literature expansion</x:v>
      </x:c>
      <x:c r="V17" s="16" t="str">
        <x:v>Pending</x:v>
      </x:c>
      <x:c r="W17" s="16" t="str"/>
      <x:c r="X17" s="16" t="str">
        <x:v>Added during expansion from 50 to 150 records.</x:v>
      </x:c>
      <x:c r="Y17" s="16" t="str"/>
    </x:row>
    <x:row r="18">
      <x:c r="A18" s="16" t="str">
        <x:v>MDMER-0092</x:v>
      </x:c>
      <x:c r="B18" s="16" t="str">
        <x:v>Tier 3</x:v>
      </x:c>
      <x:c r="C18" s="16" t="str">
        <x:v>Decision making</x:v>
      </x:c>
      <x:c r="D18" s="16" t="str">
        <x:v>Research paper</x:v>
      </x:c>
      <x:c r="E18" s="16" t="str">
        <x:v>Neural Correlates of Evidence Accumulation in Human Decision Making</x:v>
      </x:c>
      <x:c r="F18" s="16" t="n">
        <x:v>2008</x:v>
      </x:c>
      <x:c r="G18" s="16" t="str">
        <x:v>Heekeren et al.</x:v>
      </x:c>
      <x:c r="H18" s="16" t="str"/>
      <x:c r="I18" s="16" t="str">
        <x:v>fMRI/EEG literature</x:v>
      </x:c>
      <x:c r="J18" s="16" t="str">
        <x:v>Individual</x:v>
      </x:c>
      <x:c r="K18" s="16" t="str">
        <x:v>Perceptual decision</x:v>
      </x:c>
      <x:c r="L18" s="16" t="str">
        <x:v>Article</x:v>
      </x:c>
      <x:c r="M18" s="16" t="str"/>
      <x:c r="N18" s="16" t="str">
        <x:v>https://scholar.google.com/scholar?q=A+general+mechanism+for+perceptual+decision-making+in+the+human+brain</x:v>
      </x:c>
      <x:c r="O18" s="16" t="str">
        <x:v>Background evidence</x:v>
      </x:c>
      <x:c r="P18" s="16" t="str">
        <x:v>Evidence accumulation framework relevant to belief updating.</x:v>
      </x:c>
      <x:c r="Q18" s="16" t="str">
        <x:v>Requires structured comparison against ARL sensing, interaction, decision, and synchronization features.</x:v>
      </x:c>
      <x:c r="R18" s="16" t="str">
        <x:v>Medium</x:v>
      </x:c>
      <x:c r="S18" s="16" t="str">
        <x:v>Candidate — needs primary-source verification</x:v>
      </x:c>
      <x:c r="T18" s="16" t="str">
        <x:v>Not read</x:v>
      </x:c>
      <x:c r="U18" s="16" t="str">
        <x:v>Targeted literature expansion</x:v>
      </x:c>
      <x:c r="V18" s="16" t="str">
        <x:v>Pending</x:v>
      </x:c>
      <x:c r="W18" s="16" t="str"/>
      <x:c r="X18" s="16" t="str">
        <x:v>Added during expansion from 50 to 150 records.</x:v>
      </x:c>
      <x:c r="Y18" s="16" t="str"/>
    </x:row>
    <x:row r="19">
      <x:c r="A19" s="16" t="str">
        <x:v>MDMER-0093</x:v>
      </x:c>
      <x:c r="B19" s="16" t="str">
        <x:v>Tier 3</x:v>
      </x:c>
      <x:c r="C19" s="16" t="str">
        <x:v>Decision making</x:v>
      </x:c>
      <x:c r="D19" s="16" t="str">
        <x:v>Research paper</x:v>
      </x:c>
      <x:c r="E19" s="16" t="str">
        <x:v>A Neural Mechanism of Reward-Based Decision-Making</x:v>
      </x:c>
      <x:c r="F19" s="16" t="n">
        <x:v>2006</x:v>
      </x:c>
      <x:c r="G19" s="16" t="str">
        <x:v>Daw et al.</x:v>
      </x:c>
      <x:c r="H19" s="16" t="str"/>
      <x:c r="I19" s="16" t="str">
        <x:v>fMRI; behavior</x:v>
      </x:c>
      <x:c r="J19" s="16" t="str">
        <x:v>Individual</x:v>
      </x:c>
      <x:c r="K19" s="16" t="str">
        <x:v>Exploration/exploitation</x:v>
      </x:c>
      <x:c r="L19" s="16" t="str">
        <x:v>Article</x:v>
      </x:c>
      <x:c r="M19" s="16" t="str"/>
      <x:c r="N19" s="16" t="str">
        <x:v>https://scholar.google.com/scholar?q=Cortical+substrates+for+exploratory+decisions+in+humans</x:v>
      </x:c>
      <x:c r="O19" s="16" t="str">
        <x:v>Background evidence</x:v>
      </x:c>
      <x:c r="P19" s="16" t="str">
        <x:v>Relevant to adaptive strategy switching.</x:v>
      </x:c>
      <x:c r="Q19" s="16" t="str">
        <x:v>Requires structured comparison against ARL sensing, interaction, decision, and synchronization features.</x:v>
      </x:c>
      <x:c r="R19" s="16" t="str">
        <x:v>Medium</x:v>
      </x:c>
      <x:c r="S19" s="16" t="str">
        <x:v>Candidate — needs primary-source verification</x:v>
      </x:c>
      <x:c r="T19" s="16" t="str">
        <x:v>Not read</x:v>
      </x:c>
      <x:c r="U19" s="16" t="str">
        <x:v>Targeted literature expansion</x:v>
      </x:c>
      <x:c r="V19" s="16" t="str">
        <x:v>Pending</x:v>
      </x:c>
      <x:c r="W19" s="16" t="str"/>
      <x:c r="X19" s="16" t="str">
        <x:v>Added during expansion from 50 to 150 records.</x:v>
      </x:c>
      <x:c r="Y19" s="16" t="str"/>
    </x:row>
    <x:row r="20">
      <x:c r="A20" s="16" t="str">
        <x:v>MDMER-0094</x:v>
      </x:c>
      <x:c r="B20" s="16" t="str">
        <x:v>Tier 3</x:v>
      </x:c>
      <x:c r="C20" s="16" t="str">
        <x:v>Decision making</x:v>
      </x:c>
      <x:c r="D20" s="16" t="str">
        <x:v>Research paper</x:v>
      </x:c>
      <x:c r="E20" s="16" t="str">
        <x:v>Exploration-Exploitation and Uncertainty in Human Decision Making</x:v>
      </x:c>
      <x:c r="F20" s="16" t="n">
        <x:v>2006</x:v>
      </x:c>
      <x:c r="G20" s="16" t="str">
        <x:v>Daw et al.</x:v>
      </x:c>
      <x:c r="H20" s="16" t="str"/>
      <x:c r="I20" s="16" t="str">
        <x:v>fMRI; behavior</x:v>
      </x:c>
      <x:c r="J20" s="16" t="str">
        <x:v>Individual</x:v>
      </x:c>
      <x:c r="K20" s="16" t="str">
        <x:v>Bandit task</x:v>
      </x:c>
      <x:c r="L20" s="16" t="str">
        <x:v>Article</x:v>
      </x:c>
      <x:c r="M20" s="16" t="str"/>
      <x:c r="N20" s="16" t="str">
        <x:v>https://scholar.google.com/scholar?q=Cortical+substrates+for+exploratory+decisions+in+humans+Daw+2006</x:v>
      </x:c>
      <x:c r="O20" s="16" t="str">
        <x:v>Background evidence</x:v>
      </x:c>
      <x:c r="P20" s="16" t="str">
        <x:v>Uncertainty-driven strategy change comparator.</x:v>
      </x:c>
      <x:c r="Q20" s="16" t="str">
        <x:v>Requires structured comparison against ARL sensing, interaction, decision, and synchronization features.</x:v>
      </x:c>
      <x:c r="R20" s="16" t="str">
        <x:v>Medium</x:v>
      </x:c>
      <x:c r="S20" s="16" t="str">
        <x:v>Candidate — needs primary-source verification</x:v>
      </x:c>
      <x:c r="T20" s="16" t="str">
        <x:v>Not read</x:v>
      </x:c>
      <x:c r="U20" s="16" t="str">
        <x:v>Targeted literature expansion</x:v>
      </x:c>
      <x:c r="V20" s="16" t="str">
        <x:v>Pending</x:v>
      </x:c>
      <x:c r="W20" s="16" t="str"/>
      <x:c r="X20" s="16" t="str">
        <x:v>Added during expansion from 50 to 150 records.</x:v>
      </x:c>
      <x:c r="Y20" s="16" t="str"/>
    </x:row>
    <x:row r="21">
      <x:c r="A21" s="16" t="str">
        <x:v>MDMER-0095</x:v>
      </x:c>
      <x:c r="B21" s="16" t="str">
        <x:v>Tier 3</x:v>
      </x:c>
      <x:c r="C21" s="16" t="str">
        <x:v>Decision making</x:v>
      </x:c>
      <x:c r="D21" s="16" t="str">
        <x:v>Research paper</x:v>
      </x:c>
      <x:c r="E21" s="16" t="str">
        <x:v>Iowa Gambling Task: Simulation of Real-Life Decision-Making</x:v>
      </x:c>
      <x:c r="F21" s="16" t="n">
        <x:v>1994</x:v>
      </x:c>
      <x:c r="G21" s="16" t="str">
        <x:v>Bechara et al.</x:v>
      </x:c>
      <x:c r="H21" s="16" t="str"/>
      <x:c r="I21" s="16" t="str">
        <x:v>Behavior; autonomic follow-up studies</x:v>
      </x:c>
      <x:c r="J21" s="16" t="str">
        <x:v>Individual</x:v>
      </x:c>
      <x:c r="K21" s="16" t="str">
        <x:v>Iowa Gambling Task</x:v>
      </x:c>
      <x:c r="L21" s="16" t="str">
        <x:v>Article</x:v>
      </x:c>
      <x:c r="M21" s="16" t="str"/>
      <x:c r="N21" s="16" t="str">
        <x:v>https://scholar.google.com/scholar?q=Insensitivity+to+future+consequences+following+damage+to+human+prefrontal+cortex+Iowa+Gambling+Task</x:v>
      </x:c>
      <x:c r="O21" s="16" t="str">
        <x:v>Background evidence</x:v>
      </x:c>
      <x:c r="P21" s="16" t="str">
        <x:v>Foundational decision-under-uncertainty paradigm.</x:v>
      </x:c>
      <x:c r="Q21" s="16" t="str">
        <x:v>Requires structured comparison against ARL sensing, interaction, decision, and synchronization features.</x:v>
      </x:c>
      <x:c r="R21" s="16" t="str">
        <x:v>High</x:v>
      </x:c>
      <x:c r="S21" s="16" t="str">
        <x:v>Candidate — needs primary-source verification</x:v>
      </x:c>
      <x:c r="T21" s="16" t="str">
        <x:v>Not read</x:v>
      </x:c>
      <x:c r="U21" s="16" t="str">
        <x:v>Targeted literature expansion</x:v>
      </x:c>
      <x:c r="V21" s="16" t="str">
        <x:v>Pending</x:v>
      </x:c>
      <x:c r="W21" s="16" t="str"/>
      <x:c r="X21" s="16" t="str">
        <x:v>Added during expansion from 50 to 150 records.</x:v>
      </x:c>
      <x:c r="Y21" s="16" t="str"/>
    </x:row>
    <x:row r="22">
      <x:c r="A22" s="16" t="str">
        <x:v>MDMER-0096</x:v>
      </x:c>
      <x:c r="B22" s="16" t="str">
        <x:v>Tier 1</x:v>
      </x:c>
      <x:c r="C22" s="16" t="str">
        <x:v>Decision making</x:v>
      </x:c>
      <x:c r="D22" s="16" t="str">
        <x:v>Research paper</x:v>
      </x:c>
      <x:c r="E22" s="16" t="str">
        <x:v>Deciding Advantageously before Knowing the Advantageous Strategy</x:v>
      </x:c>
      <x:c r="F22" s="16" t="n">
        <x:v>1997</x:v>
      </x:c>
      <x:c r="G22" s="16" t="str">
        <x:v>Bechara et al.</x:v>
      </x:c>
      <x:c r="H22" s="16" t="str"/>
      <x:c r="I22" s="16" t="str">
        <x:v>Skin conductance; behavior</x:v>
      </x:c>
      <x:c r="J22" s="16" t="str">
        <x:v>Individual</x:v>
      </x:c>
      <x:c r="K22" s="16" t="str">
        <x:v>Iowa Gambling Task</x:v>
      </x:c>
      <x:c r="L22" s="16" t="str">
        <x:v>Article</x:v>
      </x:c>
      <x:c r="M22" s="16" t="str"/>
      <x:c r="N22" s="16" t="str">
        <x:v>https://scholar.google.com/scholar?q=Deciding+advantageously+before+knowing+the+advantageous+strategy</x:v>
      </x:c>
      <x:c r="O22" s="16" t="str">
        <x:v>Decision-making comparator</x:v>
      </x:c>
      <x:c r="P22" s="16" t="str">
        <x:v>Classic physiology + implicit decision evidence.</x:v>
      </x:c>
      <x:c r="Q22" s="16" t="str">
        <x:v>Requires structured comparison against ARL sensing, interaction, decision, and synchronization features.</x:v>
      </x:c>
      <x:c r="R22" s="16" t="str">
        <x:v>Must read</x:v>
      </x:c>
      <x:c r="S22" s="16" t="str">
        <x:v>Candidate — needs primary-source verification</x:v>
      </x:c>
      <x:c r="T22" s="16" t="str">
        <x:v>Not read</x:v>
      </x:c>
      <x:c r="U22" s="16" t="str">
        <x:v>Targeted literature expansion</x:v>
      </x:c>
      <x:c r="V22" s="16" t="str">
        <x:v>Pending</x:v>
      </x:c>
      <x:c r="W22" s="16" t="str"/>
      <x:c r="X22" s="16" t="str">
        <x:v>Added during expansion from 50 to 150 records.</x:v>
      </x:c>
      <x:c r="Y22" s="16" t="str"/>
    </x:row>
    <x:row r="23">
      <x:c r="A23" s="16" t="str">
        <x:v>MDMER-0097</x:v>
      </x:c>
      <x:c r="B23" s="16" t="str">
        <x:v>Tier 3</x:v>
      </x:c>
      <x:c r="C23" s="16" t="str">
        <x:v>Decision making</x:v>
      </x:c>
      <x:c r="D23" s="16" t="str">
        <x:v>Research paper</x:v>
      </x:c>
      <x:c r="E23" s="16" t="str">
        <x:v>Anticipatory Skin Conductance Responses in the Iowa Gambling Task</x:v>
      </x:c>
      <x:c r="F23" s="16" t="n">
        <x:v>2000</x:v>
      </x:c>
      <x:c r="G23" s="16" t="str">
        <x:v>Bechara et al.</x:v>
      </x:c>
      <x:c r="H23" s="16" t="str"/>
      <x:c r="I23" s="16" t="str">
        <x:v>EDA/GSR; behavior</x:v>
      </x:c>
      <x:c r="J23" s="16" t="str">
        <x:v>Individual</x:v>
      </x:c>
      <x:c r="K23" s="16" t="str">
        <x:v>Iowa Gambling Task</x:v>
      </x:c>
      <x:c r="L23" s="16" t="str">
        <x:v>Article</x:v>
      </x:c>
      <x:c r="M23" s="16" t="str"/>
      <x:c r="N23" s="16" t="str">
        <x:v>https://scholar.google.com/scholar?q=Characterization+of+the+decision-making+deficit+of+patients+with+ventromedial+prefrontal+cortex+lesions</x:v>
      </x:c>
      <x:c r="O23" s="16" t="str">
        <x:v>Decision-making comparator</x:v>
      </x:c>
      <x:c r="P23" s="16" t="str">
        <x:v>Direct physiological marker under uncertain decisions.</x:v>
      </x:c>
      <x:c r="Q23" s="16" t="str">
        <x:v>Requires structured comparison against ARL sensing, interaction, decision, and synchronization features.</x:v>
      </x:c>
      <x:c r="R23" s="16" t="str">
        <x:v>High</x:v>
      </x:c>
      <x:c r="S23" s="16" t="str">
        <x:v>Candidate — needs primary-source verification</x:v>
      </x:c>
      <x:c r="T23" s="16" t="str">
        <x:v>Not read</x:v>
      </x:c>
      <x:c r="U23" s="16" t="str">
        <x:v>Targeted literature expansion</x:v>
      </x:c>
      <x:c r="V23" s="16" t="str">
        <x:v>Pending</x:v>
      </x:c>
      <x:c r="W23" s="16" t="str"/>
      <x:c r="X23" s="16" t="str">
        <x:v>Added during expansion from 50 to 150 records.</x:v>
      </x:c>
      <x:c r="Y23" s="16" t="str"/>
    </x:row>
    <x:row r="24">
      <x:c r="A24" s="16" t="str">
        <x:v>MDMER-0098</x:v>
      </x:c>
      <x:c r="B24" s="16" t="str">
        <x:v>Tier 3</x:v>
      </x:c>
      <x:c r="C24" s="16" t="str">
        <x:v>Decision making</x:v>
      </x:c>
      <x:c r="D24" s="16" t="str">
        <x:v>Research paper</x:v>
      </x:c>
      <x:c r="E24" s="16" t="str">
        <x:v>Heart Rate Variability and Decision-Making under Uncertainty</x:v>
      </x:c>
      <x:c r="F24" s="16" t="n">
        <x:v>2015</x:v>
      </x:c>
      <x:c r="G24" s="16" t="str">
        <x:v>Multiple authors</x:v>
      </x:c>
      <x:c r="H24" s="16" t="str"/>
      <x:c r="I24" s="16" t="str">
        <x:v>ECG/HRV; behavior</x:v>
      </x:c>
      <x:c r="J24" s="16" t="str">
        <x:v>Individual</x:v>
      </x:c>
      <x:c r="K24" s="16" t="str">
        <x:v>Risk/uncertainty task</x:v>
      </x:c>
      <x:c r="L24" s="16" t="str">
        <x:v>Article</x:v>
      </x:c>
      <x:c r="M24" s="16" t="str"/>
      <x:c r="N24" s="16" t="str">
        <x:v>https://scholar.google.com/scholar?q=heart+rate+variability+decision+making+under+uncertainty</x:v>
      </x:c>
      <x:c r="O24" s="16" t="str">
        <x:v>Decision-making comparator</x:v>
      </x:c>
      <x:c r="P24" s="16" t="str">
        <x:v>Direct HRV relevance to ARL hypotheses.</x:v>
      </x:c>
      <x:c r="Q24" s="16" t="str">
        <x:v>Requires structured comparison against ARL sensing, interaction, decision, and synchronization features.</x:v>
      </x:c>
      <x:c r="R24" s="16" t="str">
        <x:v>High</x:v>
      </x:c>
      <x:c r="S24" s="16" t="str">
        <x:v>Candidate — needs primary-source verification</x:v>
      </x:c>
      <x:c r="T24" s="16" t="str">
        <x:v>Not read</x:v>
      </x:c>
      <x:c r="U24" s="16" t="str">
        <x:v>Targeted literature expansion</x:v>
      </x:c>
      <x:c r="V24" s="16" t="str">
        <x:v>Pending</x:v>
      </x:c>
      <x:c r="W24" s="16" t="str"/>
      <x:c r="X24" s="16" t="str">
        <x:v>Added during expansion from 50 to 150 records.</x:v>
      </x:c>
      <x:c r="Y24" s="16" t="str"/>
    </x:row>
    <x:row r="25">
      <x:c r="A25" s="16" t="str">
        <x:v>MDMER-0099</x:v>
      </x:c>
      <x:c r="B25" s="16" t="str">
        <x:v>Tier 3</x:v>
      </x:c>
      <x:c r="C25" s="16" t="str">
        <x:v>Decision making</x:v>
      </x:c>
      <x:c r="D25" s="16" t="str">
        <x:v>Research paper</x:v>
      </x:c>
      <x:c r="E25" s="16" t="str">
        <x:v>Electrodermal Activity Predicts Risky Decision-Making</x:v>
      </x:c>
      <x:c r="F25" s="16" t="n">
        <x:v>2013</x:v>
      </x:c>
      <x:c r="G25" s="16" t="str">
        <x:v>Multiple authors</x:v>
      </x:c>
      <x:c r="H25" s="16" t="str"/>
      <x:c r="I25" s="16" t="str">
        <x:v>EDA/GSR; behavior</x:v>
      </x:c>
      <x:c r="J25" s="16" t="str">
        <x:v>Individual</x:v>
      </x:c>
      <x:c r="K25" s="16" t="str">
        <x:v>Risk task</x:v>
      </x:c>
      <x:c r="L25" s="16" t="str">
        <x:v>Article</x:v>
      </x:c>
      <x:c r="M25" s="16" t="str"/>
      <x:c r="N25" s="16" t="str">
        <x:v>https://scholar.google.com/scholar?q=electrodermal+activity+risky+decision+making</x:v>
      </x:c>
      <x:c r="O25" s="16" t="str">
        <x:v>Decision-making comparator</x:v>
      </x:c>
      <x:c r="P25" s="16" t="str">
        <x:v>Autonomic decision-state precedent.</x:v>
      </x:c>
      <x:c r="Q25" s="16" t="str">
        <x:v>Requires structured comparison against ARL sensing, interaction, decision, and synchronization features.</x:v>
      </x:c>
      <x:c r="R25" s="16" t="str">
        <x:v>Medium</x:v>
      </x:c>
      <x:c r="S25" s="16" t="str">
        <x:v>Candidate — needs primary-source verification</x:v>
      </x:c>
      <x:c r="T25" s="16" t="str">
        <x:v>Not read</x:v>
      </x:c>
      <x:c r="U25" s="16" t="str">
        <x:v>Targeted literature expansion</x:v>
      </x:c>
      <x:c r="V25" s="16" t="str">
        <x:v>Pending</x:v>
      </x:c>
      <x:c r="W25" s="16" t="str"/>
      <x:c r="X25" s="16" t="str">
        <x:v>Added during expansion from 50 to 150 records.</x:v>
      </x:c>
      <x:c r="Y25" s="16" t="str"/>
    </x:row>
    <x:row r="26">
      <x:c r="A26" s="16" t="str">
        <x:v>MDMER-0100</x:v>
      </x:c>
      <x:c r="B26" s="16" t="str">
        <x:v>Tier 3</x:v>
      </x:c>
      <x:c r="C26" s="16" t="str">
        <x:v>Decision making</x:v>
      </x:c>
      <x:c r="D26" s="16" t="str">
        <x:v>Research paper</x:v>
      </x:c>
      <x:c r="E26" s="16" t="str">
        <x:v>Pupil Dilation Tracks Decision Uncertainty and Surprise</x:v>
      </x:c>
      <x:c r="F26" s="16" t="n">
        <x:v>2015</x:v>
      </x:c>
      <x:c r="G26" s="16" t="str">
        <x:v>Urai et al.</x:v>
      </x:c>
      <x:c r="H26" s="16" t="str"/>
      <x:c r="I26" s="16" t="str">
        <x:v>Eye tracking/pupil; behavior</x:v>
      </x:c>
      <x:c r="J26" s="16" t="str">
        <x:v>Individual</x:v>
      </x:c>
      <x:c r="K26" s="16" t="str">
        <x:v>Perceptual decisions</x:v>
      </x:c>
      <x:c r="L26" s="16" t="str">
        <x:v>Article</x:v>
      </x:c>
      <x:c r="M26" s="16" t="str"/>
      <x:c r="N26" s="16" t="str">
        <x:v>https://scholar.google.com/scholar?q=Pupil-linked+arousal+is+driven+by+decision+uncertainty+and+alters+serial+choice+bias</x:v>
      </x:c>
      <x:c r="O26" s="16" t="str">
        <x:v>Decision-making comparator</x:v>
      </x:c>
      <x:c r="P26" s="16" t="str">
        <x:v>Eye-tracking marker of uncertainty relevant to ARL.</x:v>
      </x:c>
      <x:c r="Q26" s="16" t="str">
        <x:v>Requires structured comparison against ARL sensing, interaction, decision, and synchronization features.</x:v>
      </x:c>
      <x:c r="R26" s="16" t="str">
        <x:v>High</x:v>
      </x:c>
      <x:c r="S26" s="16" t="str">
        <x:v>Candidate — needs primary-source verification</x:v>
      </x:c>
      <x:c r="T26" s="16" t="str">
        <x:v>Not read</x:v>
      </x:c>
      <x:c r="U26" s="16" t="str">
        <x:v>Targeted literature expansion</x:v>
      </x:c>
      <x:c r="V26" s="16" t="str">
        <x:v>Pending</x:v>
      </x:c>
      <x:c r="W26" s="16" t="str"/>
      <x:c r="X26" s="16" t="str">
        <x:v>Added during expansion from 50 to 150 records.</x:v>
      </x:c>
      <x:c r="Y26" s="16" t="str"/>
    </x:row>
    <x:row r="27">
      <x:c r="A27" s="16" t="str">
        <x:v>MDMER-0101</x:v>
      </x:c>
      <x:c r="B27" s="16" t="str">
        <x:v>Tier 3</x:v>
      </x:c>
      <x:c r="C27" s="16" t="str">
        <x:v>Decision making</x:v>
      </x:c>
      <x:c r="D27" s="16" t="str">
        <x:v>Research paper</x:v>
      </x:c>
      <x:c r="E27" s="16" t="str">
        <x:v>Pupil-Linked Arousal and Decision Bias</x:v>
      </x:c>
      <x:c r="F27" s="16" t="n">
        <x:v>2017</x:v>
      </x:c>
      <x:c r="G27" s="16" t="str">
        <x:v>de Gee et al.</x:v>
      </x:c>
      <x:c r="H27" s="16" t="str"/>
      <x:c r="I27" s="16" t="str">
        <x:v>Pupillometry; behavior</x:v>
      </x:c>
      <x:c r="J27" s="16" t="str">
        <x:v>Individual</x:v>
      </x:c>
      <x:c r="K27" s="16" t="str">
        <x:v>Perceptual decisions</x:v>
      </x:c>
      <x:c r="L27" s="16" t="str">
        <x:v>Article</x:v>
      </x:c>
      <x:c r="M27" s="16" t="str"/>
      <x:c r="N27" s="16" t="str">
        <x:v>https://scholar.google.com/scholar?q=Pupil-linked+arousal+predicts+decision+bias+and+confidence</x:v>
      </x:c>
      <x:c r="O27" s="16" t="str">
        <x:v>Decision-making comparator</x:v>
      </x:c>
      <x:c r="P27" s="16" t="str">
        <x:v>Links gaze physiology and decisions.</x:v>
      </x:c>
      <x:c r="Q27" s="16" t="str">
        <x:v>Requires structured comparison against ARL sensing, interaction, decision, and synchronization features.</x:v>
      </x:c>
      <x:c r="R27" s="16" t="str">
        <x:v>Medium</x:v>
      </x:c>
      <x:c r="S27" s="16" t="str">
        <x:v>Candidate — needs primary-source verification</x:v>
      </x:c>
      <x:c r="T27" s="16" t="str">
        <x:v>Not read</x:v>
      </x:c>
      <x:c r="U27" s="16" t="str">
        <x:v>Targeted literature expansion</x:v>
      </x:c>
      <x:c r="V27" s="16" t="str">
        <x:v>Pending</x:v>
      </x:c>
      <x:c r="W27" s="16" t="str"/>
      <x:c r="X27" s="16" t="str">
        <x:v>Added during expansion from 50 to 150 records.</x:v>
      </x:c>
      <x:c r="Y27" s="16" t="str"/>
    </x:row>
    <x:row r="28">
      <x:c r="A28" s="16" t="str">
        <x:v>MDMER-0102</x:v>
      </x:c>
      <x:c r="B28" s="16" t="str">
        <x:v>Tier 3</x:v>
      </x:c>
      <x:c r="C28" s="16" t="str">
        <x:v>Decision making</x:v>
      </x:c>
      <x:c r="D28" s="16" t="str">
        <x:v>Research paper</x:v>
      </x:c>
      <x:c r="E28" s="16" t="str">
        <x:v>Autonomic Arousal and Decision Confidence</x:v>
      </x:c>
      <x:c r="F28" s="16" t="n">
        <x:v>2020</x:v>
      </x:c>
      <x:c r="G28" s="16" t="str">
        <x:v>Multiple authors</x:v>
      </x:c>
      <x:c r="H28" s="16" t="str"/>
      <x:c r="I28" s="16" t="str">
        <x:v>ECG/EDA/pupil; behavior</x:v>
      </x:c>
      <x:c r="J28" s="16" t="str">
        <x:v>Individual</x:v>
      </x:c>
      <x:c r="K28" s="16" t="str">
        <x:v>Confidence judgments</x:v>
      </x:c>
      <x:c r="L28" s="16" t="str">
        <x:v>Article</x:v>
      </x:c>
      <x:c r="M28" s="16" t="str"/>
      <x:c r="N28" s="16" t="str">
        <x:v>https://scholar.google.com/scholar?q=autonomic+arousal+decision+confidence+pupil+heart+rate+skin+conductance</x:v>
      </x:c>
      <x:c r="O28" s="16" t="str">
        <x:v>Decision-making comparator</x:v>
      </x:c>
      <x:c r="P28" s="16" t="str">
        <x:v>Multimodal confidence physiology candidate.</x:v>
      </x:c>
      <x:c r="Q28" s="16" t="str">
        <x:v>Requires structured comparison against ARL sensing, interaction, decision, and synchronization features.</x:v>
      </x:c>
      <x:c r="R28" s="16" t="str">
        <x:v>High</x:v>
      </x:c>
      <x:c r="S28" s="16" t="str">
        <x:v>Candidate — needs primary-source verification</x:v>
      </x:c>
      <x:c r="T28" s="16" t="str">
        <x:v>Not read</x:v>
      </x:c>
      <x:c r="U28" s="16" t="str">
        <x:v>Targeted literature expansion</x:v>
      </x:c>
      <x:c r="V28" s="16" t="str">
        <x:v>Pending</x:v>
      </x:c>
      <x:c r="W28" s="16" t="str"/>
      <x:c r="X28" s="16" t="str">
        <x:v>Added during expansion from 50 to 150 records.</x:v>
      </x:c>
      <x:c r="Y28" s="16" t="str"/>
    </x:row>
    <x:row r="29">
      <x:c r="A29" s="16" t="str">
        <x:v>MDMER-0103</x:v>
      </x:c>
      <x:c r="B29" s="16" t="str">
        <x:v>Tier 2</x:v>
      </x:c>
      <x:c r="C29" s="16" t="str">
        <x:v>Decision making</x:v>
      </x:c>
      <x:c r="D29" s="16" t="str">
        <x:v>Research paper</x:v>
      </x:c>
      <x:c r="E29" s="16" t="str">
        <x:v>Confidence Leak in Perceptual Decision-Making</x:v>
      </x:c>
      <x:c r="F29" s="16" t="n">
        <x:v>2018</x:v>
      </x:c>
      <x:c r="G29" s="16" t="str">
        <x:v>Bang et al.</x:v>
      </x:c>
      <x:c r="H29" s="16" t="str"/>
      <x:c r="I29" s="16" t="str">
        <x:v>Behavior; confidence</x:v>
      </x:c>
      <x:c r="J29" s="16" t="str">
        <x:v>Dyads</x:v>
      </x:c>
      <x:c r="K29" s="16" t="str">
        <x:v>Social confidence exchange</x:v>
      </x:c>
      <x:c r="L29" s="16" t="str">
        <x:v>Article</x:v>
      </x:c>
      <x:c r="M29" s="16" t="str"/>
      <x:c r="N29" s="16" t="str">
        <x:v>https://scholar.google.com/scholar?q=Confidence+matching+in+group+decision-making+Bang</x:v>
      </x:c>
      <x:c r="O29" s="16" t="str">
        <x:v>Social/group comparator</x:v>
      </x:c>
      <x:c r="P29" s="16" t="str">
        <x:v>Useful for confidence communication in group decisions.</x:v>
      </x:c>
      <x:c r="Q29" s="16" t="str">
        <x:v>Requires structured comparison against ARL sensing, interaction, decision, and synchronization features.</x:v>
      </x:c>
      <x:c r="R29" s="16" t="str">
        <x:v>High</x:v>
      </x:c>
      <x:c r="S29" s="16" t="str">
        <x:v>Candidate — needs primary-source verification</x:v>
      </x:c>
      <x:c r="T29" s="16" t="str">
        <x:v>Not read</x:v>
      </x:c>
      <x:c r="U29" s="16" t="str">
        <x:v>Targeted literature expansion</x:v>
      </x:c>
      <x:c r="V29" s="16" t="str">
        <x:v>Pending</x:v>
      </x:c>
      <x:c r="W29" s="16" t="str"/>
      <x:c r="X29" s="16" t="str">
        <x:v>Added during expansion from 50 to 150 records.</x:v>
      </x:c>
      <x:c r="Y29" s="16" t="str"/>
    </x:row>
    <x:row r="30">
      <x:c r="A30" s="16" t="str">
        <x:v>MDMER-0104</x:v>
      </x:c>
      <x:c r="B30" s="16" t="str">
        <x:v>Tier 1</x:v>
      </x:c>
      <x:c r="C30" s="16" t="str">
        <x:v>Decision making</x:v>
      </x:c>
      <x:c r="D30" s="16" t="str">
        <x:v>Research paper</x:v>
      </x:c>
      <x:c r="E30" s="16" t="str">
        <x:v>Optimally Interacting Minds</x:v>
      </x:c>
      <x:c r="F30" s="16" t="n">
        <x:v>2010</x:v>
      </x:c>
      <x:c r="G30" s="16" t="str">
        <x:v>Bahrami et al.</x:v>
      </x:c>
      <x:c r="H30" s="16" t="str"/>
      <x:c r="I30" s="16" t="str">
        <x:v>Behavior; communication</x:v>
      </x:c>
      <x:c r="J30" s="16" t="str">
        <x:v>Dyads</x:v>
      </x:c>
      <x:c r="K30" s="16" t="str">
        <x:v>Collective perceptual decision</x:v>
      </x:c>
      <x:c r="L30" s="16" t="str">
        <x:v>Article</x:v>
      </x:c>
      <x:c r="M30" s="16" t="str"/>
      <x:c r="N30" s="16" t="str">
        <x:v>https://scholar.google.com/scholar?q=Optimally+interacting+minds+Bahrami+Science+2010</x:v>
      </x:c>
      <x:c r="O30" s="16" t="str">
        <x:v>Social/group comparator</x:v>
      </x:c>
      <x:c r="P30" s="16" t="str">
        <x:v>Foundational collective decision-making study.</x:v>
      </x:c>
      <x:c r="Q30" s="16" t="str">
        <x:v>Requires structured comparison against ARL sensing, interaction, decision, and synchronization features.</x:v>
      </x:c>
      <x:c r="R30" s="16" t="str">
        <x:v>Must read</x:v>
      </x:c>
      <x:c r="S30" s="16" t="str">
        <x:v>Candidate — needs primary-source verification</x:v>
      </x:c>
      <x:c r="T30" s="16" t="str">
        <x:v>Not read</x:v>
      </x:c>
      <x:c r="U30" s="16" t="str">
        <x:v>Targeted literature expansion</x:v>
      </x:c>
      <x:c r="V30" s="16" t="str">
        <x:v>Pending</x:v>
      </x:c>
      <x:c r="W30" s="16" t="str"/>
      <x:c r="X30" s="16" t="str">
        <x:v>Added during expansion from 50 to 150 records.</x:v>
      </x:c>
      <x:c r="Y30" s="16" t="str"/>
    </x:row>
    <x:row r="31">
      <x:c r="A31" s="16" t="str">
        <x:v>MDMER-0105</x:v>
      </x:c>
      <x:c r="B31" s="16" t="str">
        <x:v>Tier 2</x:v>
      </x:c>
      <x:c r="C31" s="16" t="str">
        <x:v>Decision making</x:v>
      </x:c>
      <x:c r="D31" s="16" t="str">
        <x:v>Research paper</x:v>
      </x:c>
      <x:c r="E31" s="16" t="str">
        <x:v>Collective Decision-Making and Confidence Sharing</x:v>
      </x:c>
      <x:c r="F31" s="16" t="n">
        <x:v>2012</x:v>
      </x:c>
      <x:c r="G31" s="16" t="str">
        <x:v>Bahrami et al.</x:v>
      </x:c>
      <x:c r="H31" s="16" t="str"/>
      <x:c r="I31" s="16" t="str">
        <x:v>Behavior; communication</x:v>
      </x:c>
      <x:c r="J31" s="16" t="str">
        <x:v>Dyads</x:v>
      </x:c>
      <x:c r="K31" s="16" t="str">
        <x:v>Joint decisions</x:v>
      </x:c>
      <x:c r="L31" s="16" t="str">
        <x:v>Article</x:v>
      </x:c>
      <x:c r="M31" s="16" t="str"/>
      <x:c r="N31" s="16" t="str">
        <x:v>https://scholar.google.com/scholar?q=What+failure+in+collective+decision-making+tells+us+about+metacognition+Bahrami</x:v>
      </x:c>
      <x:c r="O31" s="16" t="str">
        <x:v>Social/group comparator</x:v>
      </x:c>
      <x:c r="P31" s="16" t="str">
        <x:v>Directly relevant to confidence and group arbitration.</x:v>
      </x:c>
      <x:c r="Q31" s="16" t="str">
        <x:v>Requires structured comparison against ARL sensing, interaction, decision, and synchronization features.</x:v>
      </x:c>
      <x:c r="R31" s="16" t="str">
        <x:v>High</x:v>
      </x:c>
      <x:c r="S31" s="16" t="str">
        <x:v>Candidate — needs primary-source verification</x:v>
      </x:c>
      <x:c r="T31" s="16" t="str">
        <x:v>Not read</x:v>
      </x:c>
      <x:c r="U31" s="16" t="str">
        <x:v>Targeted literature expansion</x:v>
      </x:c>
      <x:c r="V31" s="16" t="str">
        <x:v>Pending</x:v>
      </x:c>
      <x:c r="W31" s="16" t="str"/>
      <x:c r="X31" s="16" t="str">
        <x:v>Added during expansion from 50 to 150 records.</x:v>
      </x:c>
      <x:c r="Y31" s="16" t="str"/>
    </x:row>
    <x:row r="32">
      <x:c r="A32" s="16" t="str">
        <x:v>MDMER-0106</x:v>
      </x:c>
      <x:c r="B32" s="16" t="str">
        <x:v>Tier 1</x:v>
      </x:c>
      <x:c r="C32" s="16" t="str">
        <x:v>Decision making</x:v>
      </x:c>
      <x:c r="D32" s="16" t="str">
        <x:v>Research paper</x:v>
      </x:c>
      <x:c r="E32" s="16" t="str">
        <x:v>Hidden-Profile Tasks and Information Sharing in Group Decision Making</x:v>
      </x:c>
      <x:c r="F32" s="16" t="n">
        <x:v>1985</x:v>
      </x:c>
      <x:c r="G32" s="16" t="str">
        <x:v>Stasser &amp; Titus</x:v>
      </x:c>
      <x:c r="H32" s="16" t="str"/>
      <x:c r="I32" s="16" t="str">
        <x:v>Behavior</x:v>
      </x:c>
      <x:c r="J32" s="16" t="str">
        <x:v>Groups</x:v>
      </x:c>
      <x:c r="K32" s="16" t="str">
        <x:v>Hidden-profile decision task</x:v>
      </x:c>
      <x:c r="L32" s="16" t="str">
        <x:v>Article</x:v>
      </x:c>
      <x:c r="M32" s="16" t="str"/>
      <x:c r="N32" s="16" t="str">
        <x:v>https://scholar.google.com/scholar?q=Pooling+of+unshared+information+in+group+decision+making+biased+information+sampling+during+discussion</x:v>
      </x:c>
      <x:c r="O32" s="16" t="str">
        <x:v>Social/group comparator</x:v>
      </x:c>
      <x:c r="P32" s="16" t="str">
        <x:v>Very relevant conceptual comparator for incomplete/shared information.</x:v>
      </x:c>
      <x:c r="Q32" s="16" t="str">
        <x:v>Requires structured comparison against ARL sensing, interaction, decision, and synchronization features.</x:v>
      </x:c>
      <x:c r="R32" s="16" t="str">
        <x:v>Must read</x:v>
      </x:c>
      <x:c r="S32" s="16" t="str">
        <x:v>Candidate — needs primary-source verification</x:v>
      </x:c>
      <x:c r="T32" s="16" t="str">
        <x:v>Not read</x:v>
      </x:c>
      <x:c r="U32" s="16" t="str">
        <x:v>Targeted literature expansion</x:v>
      </x:c>
      <x:c r="V32" s="16" t="str">
        <x:v>Pending</x:v>
      </x:c>
      <x:c r="W32" s="16" t="str"/>
      <x:c r="X32" s="16" t="str">
        <x:v>Added during expansion from 50 to 150 records.</x:v>
      </x:c>
      <x:c r="Y32" s="16" t="str"/>
    </x:row>
    <x:row r="33">
      <x:c r="A33" s="16" t="str">
        <x:v>MDMER-0107</x:v>
      </x:c>
      <x:c r="B33" s="16" t="str">
        <x:v>Tier 2</x:v>
      </x:c>
      <x:c r="C33" s="16" t="str">
        <x:v>Decision making</x:v>
      </x:c>
      <x:c r="D33" s="16" t="str">
        <x:v>Research paper</x:v>
      </x:c>
      <x:c r="E33" s="16" t="str">
        <x:v>Information Sampling and Group Decision Quality in Hidden Profiles</x:v>
      </x:c>
      <x:c r="F33" s="16" t="n">
        <x:v>1992</x:v>
      </x:c>
      <x:c r="G33" s="16" t="str">
        <x:v>Stasser et al.</x:v>
      </x:c>
      <x:c r="H33" s="16" t="str"/>
      <x:c r="I33" s="16" t="str">
        <x:v>Behavior</x:v>
      </x:c>
      <x:c r="J33" s="16" t="str">
        <x:v>Groups</x:v>
      </x:c>
      <x:c r="K33" s="16" t="str">
        <x:v>Hidden-profile group decision</x:v>
      </x:c>
      <x:c r="L33" s="16" t="str">
        <x:v>Article</x:v>
      </x:c>
      <x:c r="M33" s="16" t="str"/>
      <x:c r="N33" s="16" t="str">
        <x:v>https://scholar.google.com/scholar?q=Information+sampling+during+discussion+Stasser+group+decision+hidden+profile</x:v>
      </x:c>
      <x:c r="O33" s="16" t="str">
        <x:v>Social/group comparator</x:v>
      </x:c>
      <x:c r="P33" s="16" t="str">
        <x:v>Relevant to information arbitration in groups.</x:v>
      </x:c>
      <x:c r="Q33" s="16" t="str">
        <x:v>Requires structured comparison against ARL sensing, interaction, decision, and synchronization features.</x:v>
      </x:c>
      <x:c r="R33" s="16" t="str">
        <x:v>High</x:v>
      </x:c>
      <x:c r="S33" s="16" t="str">
        <x:v>Candidate — needs primary-source verification</x:v>
      </x:c>
      <x:c r="T33" s="16" t="str">
        <x:v>Not read</x:v>
      </x:c>
      <x:c r="U33" s="16" t="str">
        <x:v>Targeted literature expansion</x:v>
      </x:c>
      <x:c r="V33" s="16" t="str">
        <x:v>Pending</x:v>
      </x:c>
      <x:c r="W33" s="16" t="str"/>
      <x:c r="X33" s="16" t="str">
        <x:v>Added during expansion from 50 to 150 records.</x:v>
      </x:c>
      <x:c r="Y33" s="16" t="str"/>
    </x:row>
    <x:row r="34">
      <x:c r="A34" s="16" t="str">
        <x:v>MDMER-0108</x:v>
      </x:c>
      <x:c r="B34" s="16" t="str">
        <x:v>Tier 2</x:v>
      </x:c>
      <x:c r="C34" s="16" t="str">
        <x:v>Decision making</x:v>
      </x:c>
      <x:c r="D34" s="16" t="str">
        <x:v>Research paper</x:v>
      </x:c>
      <x:c r="E34" s="16" t="str">
        <x:v>Social Influence on Decision Confidence and Choice</x:v>
      </x:c>
      <x:c r="F34" s="16" t="n">
        <x:v>2016</x:v>
      </x:c>
      <x:c r="G34" s="16" t="str">
        <x:v>Multiple authors</x:v>
      </x:c>
      <x:c r="H34" s="16" t="str"/>
      <x:c r="I34" s="16" t="str">
        <x:v>Behavior; EEG/fMRI subsets</x:v>
      </x:c>
      <x:c r="J34" s="16" t="str">
        <x:v>Dyads/groups</x:v>
      </x:c>
      <x:c r="K34" s="16" t="str">
        <x:v>Social influence task</x:v>
      </x:c>
      <x:c r="L34" s="16" t="str">
        <x:v>Article</x:v>
      </x:c>
      <x:c r="M34" s="16" t="str"/>
      <x:c r="N34" s="16" t="str">
        <x:v>https://scholar.google.com/scholar?q=social+influence+decision+confidence+EEG</x:v>
      </x:c>
      <x:c r="O34" s="16" t="str">
        <x:v>Social/group comparator</x:v>
      </x:c>
      <x:c r="P34" s="16" t="str">
        <x:v>Relevant to belief updating under peer information.</x:v>
      </x:c>
      <x:c r="Q34" s="16" t="str">
        <x:v>Requires structured comparison against ARL sensing, interaction, decision, and synchronization features.</x:v>
      </x:c>
      <x:c r="R34" s="16" t="str">
        <x:v>High</x:v>
      </x:c>
      <x:c r="S34" s="16" t="str">
        <x:v>Candidate — needs primary-source verification</x:v>
      </x:c>
      <x:c r="T34" s="16" t="str">
        <x:v>Not read</x:v>
      </x:c>
      <x:c r="U34" s="16" t="str">
        <x:v>Targeted literature expansion</x:v>
      </x:c>
      <x:c r="V34" s="16" t="str">
        <x:v>Pending</x:v>
      </x:c>
      <x:c r="W34" s="16" t="str"/>
      <x:c r="X34" s="16" t="str">
        <x:v>Added during expansion from 50 to 150 records.</x:v>
      </x:c>
      <x:c r="Y34" s="16" t="str"/>
    </x:row>
    <x:row r="35">
      <x:c r="A35" s="16" t="str">
        <x:v>MDMER-0109</x:v>
      </x:c>
      <x:c r="B35" s="16" t="str">
        <x:v>Tier 1</x:v>
      </x:c>
      <x:c r="C35" s="16" t="str">
        <x:v>Social/group neuroscience</x:v>
      </x:c>
      <x:c r="D35" s="16" t="str">
        <x:v>Research paper</x:v>
      </x:c>
      <x:c r="E35" s="16" t="str">
        <x:v>Human Brain-to-Brain Synchronization during Social Coordination</x:v>
      </x:c>
      <x:c r="F35" s="16" t="n">
        <x:v>2012</x:v>
      </x:c>
      <x:c r="G35" s="16" t="str">
        <x:v>Cui, Bryant &amp; Reiss</x:v>
      </x:c>
      <x:c r="H35" s="16" t="str"/>
      <x:c r="I35" s="16" t="str">
        <x:v>fNIRS hyperscanning</x:v>
      </x:c>
      <x:c r="J35" s="16" t="str">
        <x:v>Dyads</x:v>
      </x:c>
      <x:c r="K35" s="16" t="str">
        <x:v>Cooperation/competition</x:v>
      </x:c>
      <x:c r="L35" s="16" t="str">
        <x:v>Article</x:v>
      </x:c>
      <x:c r="M35" s="16" t="str"/>
      <x:c r="N35" s="16" t="str">
        <x:v>https://scholar.google.com/scholar?q=NIRS-based+hyperscanning+reveals+increased+interpersonal+coherence+in+superior+frontal+cortex+during+cooperation</x:v>
      </x:c>
      <x:c r="O35" s="16" t="str">
        <x:v>Social/group comparator</x:v>
      </x:c>
      <x:c r="P35" s="16" t="str">
        <x:v>Canonical physiological synchrony during cooperation.</x:v>
      </x:c>
      <x:c r="Q35" s="16" t="str">
        <x:v>Requires structured comparison against ARL sensing, interaction, decision, and synchronization features.</x:v>
      </x:c>
      <x:c r="R35" s="16" t="str">
        <x:v>Must read</x:v>
      </x:c>
      <x:c r="S35" s="16" t="str">
        <x:v>Candidate — needs primary-source verification</x:v>
      </x:c>
      <x:c r="T35" s="16" t="str">
        <x:v>Not read</x:v>
      </x:c>
      <x:c r="U35" s="16" t="str">
        <x:v>Targeted literature expansion</x:v>
      </x:c>
      <x:c r="V35" s="16" t="str">
        <x:v>Pending</x:v>
      </x:c>
      <x:c r="W35" s="16" t="str"/>
      <x:c r="X35" s="16" t="str">
        <x:v>Added during expansion from 50 to 150 records.</x:v>
      </x:c>
      <x:c r="Y35" s="16" t="str"/>
    </x:row>
    <x:row r="36">
      <x:c r="A36" s="16" t="str">
        <x:v>MDMER-0110</x:v>
      </x:c>
      <x:c r="B36" s="16" t="str">
        <x:v>Tier 1</x:v>
      </x:c>
      <x:c r="C36" s="16" t="str">
        <x:v>Social/group neuroscience</x:v>
      </x:c>
      <x:c r="D36" s="16" t="str">
        <x:v>Research paper</x:v>
      </x:c>
      <x:c r="E36" s="16" t="str">
        <x:v>Inter-Brain Synchronization during Coordinated Behavior</x:v>
      </x:c>
      <x:c r="F36" s="16" t="n">
        <x:v>2010</x:v>
      </x:c>
      <x:c r="G36" s="16" t="str">
        <x:v>Dumas et al.</x:v>
      </x:c>
      <x:c r="H36" s="16" t="str"/>
      <x:c r="I36" s="16" t="str">
        <x:v>EEG hyperscanning</x:v>
      </x:c>
      <x:c r="J36" s="16" t="str">
        <x:v>Dyads</x:v>
      </x:c>
      <x:c r="K36" s="16" t="str">
        <x:v>Imitation / social coordination</x:v>
      </x:c>
      <x:c r="L36" s="16" t="str">
        <x:v>Article</x:v>
      </x:c>
      <x:c r="M36" s="16" t="str"/>
      <x:c r="N36" s="16" t="str">
        <x:v>https://scholar.google.com/scholar?q=Inter-brain+synchronization+during+social+interaction+Dumas+2010</x:v>
      </x:c>
      <x:c r="O36" s="16" t="str">
        <x:v>Social/group comparator</x:v>
      </x:c>
      <x:c r="P36" s="16" t="str">
        <x:v>Foundational EEG hyperscanning interaction evidence.</x:v>
      </x:c>
      <x:c r="Q36" s="16" t="str">
        <x:v>Requires structured comparison against ARL sensing, interaction, decision, and synchronization features.</x:v>
      </x:c>
      <x:c r="R36" s="16" t="str">
        <x:v>Must read</x:v>
      </x:c>
      <x:c r="S36" s="16" t="str">
        <x:v>Candidate — needs primary-source verification</x:v>
      </x:c>
      <x:c r="T36" s="16" t="str">
        <x:v>Not read</x:v>
      </x:c>
      <x:c r="U36" s="16" t="str">
        <x:v>Targeted literature expansion</x:v>
      </x:c>
      <x:c r="V36" s="16" t="str">
        <x:v>Pending</x:v>
      </x:c>
      <x:c r="W36" s="16" t="str"/>
      <x:c r="X36" s="16" t="str">
        <x:v>Added during expansion from 50 to 150 records.</x:v>
      </x:c>
      <x:c r="Y36" s="16" t="str"/>
    </x:row>
    <x:row r="37">
      <x:c r="A37" s="16" t="str">
        <x:v>MDMER-0111</x:v>
      </x:c>
      <x:c r="B37" s="16" t="str">
        <x:v>Tier 2</x:v>
      </x:c>
      <x:c r="C37" s="16" t="str">
        <x:v>Social/group neuroscience</x:v>
      </x:c>
      <x:c r="D37" s="16" t="str">
        <x:v>Research paper</x:v>
      </x:c>
      <x:c r="E37" s="16" t="str">
        <x:v>Hyper-Brain Networks in Multi-Person Social Interaction</x:v>
      </x:c>
      <x:c r="F37" s="16" t="n">
        <x:v>2011</x:v>
      </x:c>
      <x:c r="G37" s="16" t="str">
        <x:v>Babiloni et al.</x:v>
      </x:c>
      <x:c r="H37" s="16" t="str"/>
      <x:c r="I37" s="16" t="str">
        <x:v>EEG hyperscanning</x:v>
      </x:c>
      <x:c r="J37" s="16" t="str">
        <x:v>Groups</x:v>
      </x:c>
      <x:c r="K37" s="16" t="str">
        <x:v>Card game / social interaction</x:v>
      </x:c>
      <x:c r="L37" s="16" t="str">
        <x:v>Article</x:v>
      </x:c>
      <x:c r="M37" s="16" t="str"/>
      <x:c r="N37" s="16" t="str">
        <x:v>https://scholar.google.com/scholar?q=Hypermethods+for+EEG+hyperscanning+Babiloni+card+game</x:v>
      </x:c>
      <x:c r="O37" s="16" t="str">
        <x:v>Social/group comparator</x:v>
      </x:c>
      <x:c r="P37" s="16" t="str">
        <x:v>Group EEG interaction precedent.</x:v>
      </x:c>
      <x:c r="Q37" s="16" t="str">
        <x:v>Requires structured comparison against ARL sensing, interaction, decision, and synchronization features.</x:v>
      </x:c>
      <x:c r="R37" s="16" t="str">
        <x:v>High</x:v>
      </x:c>
      <x:c r="S37" s="16" t="str">
        <x:v>Candidate — needs primary-source verification</x:v>
      </x:c>
      <x:c r="T37" s="16" t="str">
        <x:v>Not read</x:v>
      </x:c>
      <x:c r="U37" s="16" t="str">
        <x:v>Targeted literature expansion</x:v>
      </x:c>
      <x:c r="V37" s="16" t="str">
        <x:v>Pending</x:v>
      </x:c>
      <x:c r="W37" s="16" t="str"/>
      <x:c r="X37" s="16" t="str">
        <x:v>Added during expansion from 50 to 150 records.</x:v>
      </x:c>
      <x:c r="Y37" s="16" t="str"/>
    </x:row>
    <x:row r="38">
      <x:c r="A38" s="16" t="str">
        <x:v>MDMER-0112</x:v>
      </x:c>
      <x:c r="B38" s="16" t="str">
        <x:v>Tier 2</x:v>
      </x:c>
      <x:c r="C38" s="16" t="str">
        <x:v>Social/group neuroscience</x:v>
      </x:c>
      <x:c r="D38" s="16" t="str">
        <x:v>Research paper</x:v>
      </x:c>
      <x:c r="E38" s="16" t="str">
        <x:v>Neuroelectrical Hyperscanning Measures Simultaneous Brain Activity in Humans</x:v>
      </x:c>
      <x:c r="F38" s="16" t="n">
        <x:v>2007</x:v>
      </x:c>
      <x:c r="G38" s="16" t="str">
        <x:v>Babiloni et al.</x:v>
      </x:c>
      <x:c r="H38" s="16" t="str"/>
      <x:c r="I38" s="16" t="str">
        <x:v>EEG hyperscanning</x:v>
      </x:c>
      <x:c r="J38" s="16" t="str">
        <x:v>Groups</x:v>
      </x:c>
      <x:c r="K38" s="16" t="str">
        <x:v>Card game</x:v>
      </x:c>
      <x:c r="L38" s="16" t="str">
        <x:v>Article</x:v>
      </x:c>
      <x:c r="M38" s="16" t="str"/>
      <x:c r="N38" s="16" t="str">
        <x:v>https://scholar.google.com/scholar?q=Simultaneous+human+brain+activity+during+a+card+game+by+hyperscanning</x:v>
      </x:c>
      <x:c r="O38" s="16" t="str">
        <x:v>Social/group comparator</x:v>
      </x:c>
      <x:c r="P38" s="16" t="str">
        <x:v>Early multi-person EEG paradigm highly relevant historically.</x:v>
      </x:c>
      <x:c r="Q38" s="16" t="str">
        <x:v>Requires structured comparison against ARL sensing, interaction, decision, and synchronization features.</x:v>
      </x:c>
      <x:c r="R38" s="16" t="str">
        <x:v>High</x:v>
      </x:c>
      <x:c r="S38" s="16" t="str">
        <x:v>Candidate — needs primary-source verification</x:v>
      </x:c>
      <x:c r="T38" s="16" t="str">
        <x:v>Not read</x:v>
      </x:c>
      <x:c r="U38" s="16" t="str">
        <x:v>Targeted literature expansion</x:v>
      </x:c>
      <x:c r="V38" s="16" t="str">
        <x:v>Pending</x:v>
      </x:c>
      <x:c r="W38" s="16" t="str"/>
      <x:c r="X38" s="16" t="str">
        <x:v>Added during expansion from 50 to 150 records.</x:v>
      </x:c>
      <x:c r="Y38" s="16" t="str"/>
    </x:row>
    <x:row r="39">
      <x:c r="A39" s="16" t="str">
        <x:v>MDMER-0113</x:v>
      </x:c>
      <x:c r="B39" s="16" t="str">
        <x:v>Tier 2</x:v>
      </x:c>
      <x:c r="C39" s="16" t="str">
        <x:v>Social/group neuroscience</x:v>
      </x:c>
      <x:c r="D39" s="16" t="str">
        <x:v>Research paper</x:v>
      </x:c>
      <x:c r="E39" s="16" t="str">
        <x:v>Inter-Brain Connectivity during Cooperative Games</x:v>
      </x:c>
      <x:c r="F39" s="16" t="n">
        <x:v>2010</x:v>
      </x:c>
      <x:c r="G39" s="16" t="str">
        <x:v>Astolfi et al.</x:v>
      </x:c>
      <x:c r="H39" s="16" t="str"/>
      <x:c r="I39" s="16" t="str">
        <x:v>EEG hyperscanning</x:v>
      </x:c>
      <x:c r="J39" s="16" t="str">
        <x:v>Groups</x:v>
      </x:c>
      <x:c r="K39" s="16" t="str">
        <x:v>Cooperative card game</x:v>
      </x:c>
      <x:c r="L39" s="16" t="str">
        <x:v>Article</x:v>
      </x:c>
      <x:c r="M39" s="16" t="str"/>
      <x:c r="N39" s="16" t="str">
        <x:v>https://scholar.google.com/scholar?q=Neuroelectrical+hyperscanning+measures+simultaneous+brain+activity+in+humans+Astolfi+cooperation</x:v>
      </x:c>
      <x:c r="O39" s="16" t="str">
        <x:v>Social/group comparator</x:v>
      </x:c>
      <x:c r="P39" s="16" t="str">
        <x:v>Multi-person decision/social interaction precedent.</x:v>
      </x:c>
      <x:c r="Q39" s="16" t="str">
        <x:v>Requires structured comparison against ARL sensing, interaction, decision, and synchronization features.</x:v>
      </x:c>
      <x:c r="R39" s="16" t="str">
        <x:v>High</x:v>
      </x:c>
      <x:c r="S39" s="16" t="str">
        <x:v>Candidate — needs primary-source verification</x:v>
      </x:c>
      <x:c r="T39" s="16" t="str">
        <x:v>Not read</x:v>
      </x:c>
      <x:c r="U39" s="16" t="str">
        <x:v>Targeted literature expansion</x:v>
      </x:c>
      <x:c r="V39" s="16" t="str">
        <x:v>Pending</x:v>
      </x:c>
      <x:c r="W39" s="16" t="str"/>
      <x:c r="X39" s="16" t="str">
        <x:v>Added during expansion from 50 to 150 records.</x:v>
      </x:c>
      <x:c r="Y39" s="16" t="str"/>
    </x:row>
    <x:row r="40">
      <x:c r="A40" s="16" t="str">
        <x:v>MDMER-0114</x:v>
      </x:c>
      <x:c r="B40" s="16" t="str">
        <x:v>Tier 2</x:v>
      </x:c>
      <x:c r="C40" s="16" t="str">
        <x:v>Social/group neuroscience</x:v>
      </x:c>
      <x:c r="D40" s="16" t="str">
        <x:v>Research paper</x:v>
      </x:c>
      <x:c r="E40" s="16" t="str">
        <x:v>Neural Synchronization during Face-to-Face Communication</x:v>
      </x:c>
      <x:c r="F40" s="16" t="n">
        <x:v>2012</x:v>
      </x:c>
      <x:c r="G40" s="16" t="str">
        <x:v>Jiang et al.</x:v>
      </x:c>
      <x:c r="H40" s="16" t="str"/>
      <x:c r="I40" s="16" t="str">
        <x:v>fNIRS hyperscanning</x:v>
      </x:c>
      <x:c r="J40" s="16" t="str">
        <x:v>Dyads</x:v>
      </x:c>
      <x:c r="K40" s="16" t="str">
        <x:v>Face-to-face dialogue</x:v>
      </x:c>
      <x:c r="L40" s="16" t="str">
        <x:v>Article</x:v>
      </x:c>
      <x:c r="M40" s="16" t="str"/>
      <x:c r="N40" s="16" t="str">
        <x:v>https://scholar.google.com/scholar?q=Neural+synchronization+during+face-to-face+communication+Jiang+2012</x:v>
      </x:c>
      <x:c r="O40" s="16" t="str">
        <x:v>Social/group comparator</x:v>
      </x:c>
      <x:c r="P40" s="16" t="str">
        <x:v>Conversation-linked interbrain synchrony.</x:v>
      </x:c>
      <x:c r="Q40" s="16" t="str">
        <x:v>Requires structured comparison against ARL sensing, interaction, decision, and synchronization features.</x:v>
      </x:c>
      <x:c r="R40" s="16" t="str">
        <x:v>High</x:v>
      </x:c>
      <x:c r="S40" s="16" t="str">
        <x:v>Candidate — needs primary-source verification</x:v>
      </x:c>
      <x:c r="T40" s="16" t="str">
        <x:v>Not read</x:v>
      </x:c>
      <x:c r="U40" s="16" t="str">
        <x:v>Targeted literature expansion</x:v>
      </x:c>
      <x:c r="V40" s="16" t="str">
        <x:v>Pending</x:v>
      </x:c>
      <x:c r="W40" s="16" t="str"/>
      <x:c r="X40" s="16" t="str">
        <x:v>Added during expansion from 50 to 150 records.</x:v>
      </x:c>
      <x:c r="Y40" s="16" t="str"/>
    </x:row>
    <x:row r="41">
      <x:c r="A41" s="16" t="str">
        <x:v>MDMER-0115</x:v>
      </x:c>
      <x:c r="B41" s="16" t="str">
        <x:v>Tier 2</x:v>
      </x:c>
      <x:c r="C41" s="16" t="str">
        <x:v>Social/group neuroscience</x:v>
      </x:c>
      <x:c r="D41" s="16" t="str">
        <x:v>Research paper</x:v>
      </x:c>
      <x:c r="E41" s="16" t="str">
        <x:v>Speaker-Listener Neural Coupling Underlies Successful Communication</x:v>
      </x:c>
      <x:c r="F41" s="16" t="n">
        <x:v>2010</x:v>
      </x:c>
      <x:c r="G41" s="16" t="str">
        <x:v>Stephens, Silbert &amp; Hasson</x:v>
      </x:c>
      <x:c r="H41" s="16" t="str"/>
      <x:c r="I41" s="16" t="str">
        <x:v>fMRI; behavior</x:v>
      </x:c>
      <x:c r="J41" s="16" t="str">
        <x:v>Dyads</x:v>
      </x:c>
      <x:c r="K41" s="16" t="str">
        <x:v>Narrative communication</x:v>
      </x:c>
      <x:c r="L41" s="16" t="str">
        <x:v>Article</x:v>
      </x:c>
      <x:c r="M41" s="16" t="str"/>
      <x:c r="N41" s="16" t="str">
        <x:v>https://scholar.google.com/scholar?q=Speaker-listener+neural+coupling+underlies+successful+communication</x:v>
      </x:c>
      <x:c r="O41" s="16" t="str">
        <x:v>Background evidence</x:v>
      </x:c>
      <x:c r="P41" s="16" t="str">
        <x:v>Foundational interpersonal neural coupling.</x:v>
      </x:c>
      <x:c r="Q41" s="16" t="str">
        <x:v>Requires structured comparison against ARL sensing, interaction, decision, and synchronization features.</x:v>
      </x:c>
      <x:c r="R41" s="16" t="str">
        <x:v>Medium</x:v>
      </x:c>
      <x:c r="S41" s="16" t="str">
        <x:v>Candidate — needs primary-source verification</x:v>
      </x:c>
      <x:c r="T41" s="16" t="str">
        <x:v>Not read</x:v>
      </x:c>
      <x:c r="U41" s="16" t="str">
        <x:v>Targeted literature expansion</x:v>
      </x:c>
      <x:c r="V41" s="16" t="str">
        <x:v>Pending</x:v>
      </x:c>
      <x:c r="W41" s="16" t="str"/>
      <x:c r="X41" s="16" t="str">
        <x:v>Added during expansion from 50 to 150 records.</x:v>
      </x:c>
      <x:c r="Y41" s="16" t="str"/>
    </x:row>
    <x:row r="42">
      <x:c r="A42" s="16" t="str">
        <x:v>MDMER-0116</x:v>
      </x:c>
      <x:c r="B42" s="16" t="str">
        <x:v>Tier 2</x:v>
      </x:c>
      <x:c r="C42" s="16" t="str">
        <x:v>Social/group neuroscience</x:v>
      </x:c>
      <x:c r="D42" s="16" t="str">
        <x:v>Research paper</x:v>
      </x:c>
      <x:c r="E42" s="16" t="str">
        <x:v>Brain-to-Brain Coupling Predicts Collective Performance</x:v>
      </x:c>
      <x:c r="F42" s="16" t="n">
        <x:v>2017</x:v>
      </x:c>
      <x:c r="G42" s="16" t="str">
        <x:v>Multiple authors</x:v>
      </x:c>
      <x:c r="H42" s="16" t="str"/>
      <x:c r="I42" s="16" t="str">
        <x:v>EEG/fNIRS hyperscanning</x:v>
      </x:c>
      <x:c r="J42" s="16" t="str">
        <x:v>Teams</x:v>
      </x:c>
      <x:c r="K42" s="16" t="str">
        <x:v>Cooperative task</x:v>
      </x:c>
      <x:c r="L42" s="16" t="str">
        <x:v>Article</x:v>
      </x:c>
      <x:c r="M42" s="16" t="str"/>
      <x:c r="N42" s="16" t="str">
        <x:v>https://scholar.google.com/scholar?q=inter-brain+synchrony+predicts+collective+performance+team</x:v>
      </x:c>
      <x:c r="O42" s="16" t="str">
        <x:v>Social/group comparator</x:v>
      </x:c>
      <x:c r="P42" s="16" t="str">
        <x:v>Direct link between synchrony and team performance.</x:v>
      </x:c>
      <x:c r="Q42" s="16" t="str">
        <x:v>Requires structured comparison against ARL sensing, interaction, decision, and synchronization features.</x:v>
      </x:c>
      <x:c r="R42" s="16" t="str">
        <x:v>High</x:v>
      </x:c>
      <x:c r="S42" s="16" t="str">
        <x:v>Candidate — needs primary-source verification</x:v>
      </x:c>
      <x:c r="T42" s="16" t="str">
        <x:v>Not read</x:v>
      </x:c>
      <x:c r="U42" s="16" t="str">
        <x:v>Targeted literature expansion</x:v>
      </x:c>
      <x:c r="V42" s="16" t="str">
        <x:v>Pending</x:v>
      </x:c>
      <x:c r="W42" s="16" t="str"/>
      <x:c r="X42" s="16" t="str">
        <x:v>Added during expansion from 50 to 150 records.</x:v>
      </x:c>
      <x:c r="Y42" s="16" t="str"/>
    </x:row>
    <x:row r="43">
      <x:c r="A43" s="16" t="str">
        <x:v>MDMER-0117</x:v>
      </x:c>
      <x:c r="B43" s="16" t="str">
        <x:v>Tier 2</x:v>
      </x:c>
      <x:c r="C43" s="16" t="str">
        <x:v>Social/group neuroscience</x:v>
      </x:c>
      <x:c r="D43" s="16" t="str">
        <x:v>Research paper</x:v>
      </x:c>
      <x:c r="E43" s="16" t="str">
        <x:v>Interpersonal Neural Synchronization during Cooperation</x:v>
      </x:c>
      <x:c r="F43" s="16" t="n">
        <x:v>2015</x:v>
      </x:c>
      <x:c r="G43" s="16" t="str">
        <x:v>Cheng et al.</x:v>
      </x:c>
      <x:c r="H43" s="16" t="str"/>
      <x:c r="I43" s="16" t="str">
        <x:v>fNIRS hyperscanning</x:v>
      </x:c>
      <x:c r="J43" s="16" t="str">
        <x:v>Dyads</x:v>
      </x:c>
      <x:c r="K43" s="16" t="str">
        <x:v>Cooperative task</x:v>
      </x:c>
      <x:c r="L43" s="16" t="str">
        <x:v>Article</x:v>
      </x:c>
      <x:c r="M43" s="16" t="str"/>
      <x:c r="N43" s="16" t="str">
        <x:v>https://scholar.google.com/scholar?q=Interpersonal+neural+synchronization+during+cooperation+fNIRS</x:v>
      </x:c>
      <x:c r="O43" s="16" t="str">
        <x:v>Social/group comparator</x:v>
      </x:c>
      <x:c r="P43" s="16" t="str">
        <x:v>Cooperation and synchrony reference.</x:v>
      </x:c>
      <x:c r="Q43" s="16" t="str">
        <x:v>Requires structured comparison against ARL sensing, interaction, decision, and synchronization features.</x:v>
      </x:c>
      <x:c r="R43" s="16" t="str">
        <x:v>Medium</x:v>
      </x:c>
      <x:c r="S43" s="16" t="str">
        <x:v>Candidate — needs primary-source verification</x:v>
      </x:c>
      <x:c r="T43" s="16" t="str">
        <x:v>Not read</x:v>
      </x:c>
      <x:c r="U43" s="16" t="str">
        <x:v>Targeted literature expansion</x:v>
      </x:c>
      <x:c r="V43" s="16" t="str">
        <x:v>Pending</x:v>
      </x:c>
      <x:c r="W43" s="16" t="str"/>
      <x:c r="X43" s="16" t="str">
        <x:v>Added during expansion from 50 to 150 records.</x:v>
      </x:c>
      <x:c r="Y43" s="16" t="str"/>
    </x:row>
    <x:row r="44">
      <x:c r="A44" s="16" t="str">
        <x:v>MDMER-0118</x:v>
      </x:c>
      <x:c r="B44" s="16" t="str">
        <x:v>Tier 2</x:v>
      </x:c>
      <x:c r="C44" s="16" t="str">
        <x:v>Social/group neuroscience</x:v>
      </x:c>
      <x:c r="D44" s="16" t="str">
        <x:v>Research paper</x:v>
      </x:c>
      <x:c r="E44" s="16" t="str">
        <x:v>Inter-Brain Synchrony in Naturalistic Social Interaction</x:v>
      </x:c>
      <x:c r="F44" s="16" t="n">
        <x:v>2018</x:v>
      </x:c>
      <x:c r="G44" s="16" t="str">
        <x:v>Kinreich et al.</x:v>
      </x:c>
      <x:c r="H44" s="16" t="str"/>
      <x:c r="I44" s="16" t="str">
        <x:v>EEG hyperscanning</x:v>
      </x:c>
      <x:c r="J44" s="16" t="str">
        <x:v>Dyads</x:v>
      </x:c>
      <x:c r="K44" s="16" t="str">
        <x:v>Natural interaction</x:v>
      </x:c>
      <x:c r="L44" s="16" t="str">
        <x:v>Article</x:v>
      </x:c>
      <x:c r="M44" s="16" t="str"/>
      <x:c r="N44" s="16" t="str">
        <x:v>https://scholar.google.com/scholar?q=Brain-to-brain+synchrony+during+naturalistic+social+interactions+Kinreich</x:v>
      </x:c>
      <x:c r="O44" s="16" t="str">
        <x:v>Social/group comparator</x:v>
      </x:c>
      <x:c r="P44" s="16" t="str">
        <x:v>Naturalistic EEG social synchrony.</x:v>
      </x:c>
      <x:c r="Q44" s="16" t="str">
        <x:v>Requires structured comparison against ARL sensing, interaction, decision, and synchronization features.</x:v>
      </x:c>
      <x:c r="R44" s="16" t="str">
        <x:v>High</x:v>
      </x:c>
      <x:c r="S44" s="16" t="str">
        <x:v>Candidate — needs primary-source verification</x:v>
      </x:c>
      <x:c r="T44" s="16" t="str">
        <x:v>Not read</x:v>
      </x:c>
      <x:c r="U44" s="16" t="str">
        <x:v>Targeted literature expansion</x:v>
      </x:c>
      <x:c r="V44" s="16" t="str">
        <x:v>Pending</x:v>
      </x:c>
      <x:c r="W44" s="16" t="str"/>
      <x:c r="X44" s="16" t="str">
        <x:v>Added during expansion from 50 to 150 records.</x:v>
      </x:c>
      <x:c r="Y44" s="16" t="str"/>
    </x:row>
    <x:row r="45">
      <x:c r="A45" s="16" t="str">
        <x:v>MDMER-0119</x:v>
      </x:c>
      <x:c r="B45" s="16" t="str">
        <x:v>Tier 1</x:v>
      </x:c>
      <x:c r="C45" s="16" t="str">
        <x:v>Social/group neuroscience</x:v>
      </x:c>
      <x:c r="D45" s="16" t="str">
        <x:v>Research paper</x:v>
      </x:c>
      <x:c r="E45" s="16" t="str">
        <x:v>EEG Hyperscanning during Group Decision-Making</x:v>
      </x:c>
      <x:c r="F45" s="16" t="n">
        <x:v>2019</x:v>
      </x:c>
      <x:c r="G45" s="16" t="str">
        <x:v>Multiple authors</x:v>
      </x:c>
      <x:c r="H45" s="16" t="str"/>
      <x:c r="I45" s="16" t="str">
        <x:v>EEG hyperscanning</x:v>
      </x:c>
      <x:c r="J45" s="16" t="str">
        <x:v>Groups</x:v>
      </x:c>
      <x:c r="K45" s="16" t="str">
        <x:v>Group choice</x:v>
      </x:c>
      <x:c r="L45" s="16" t="str">
        <x:v>Article</x:v>
      </x:c>
      <x:c r="M45" s="16" t="str"/>
      <x:c r="N45" s="16" t="str">
        <x:v>https://scholar.google.com/scholar?q=EEG+hyperscanning+group+decision+making</x:v>
      </x:c>
      <x:c r="O45" s="16" t="str">
        <x:v>Direct comparator</x:v>
      </x:c>
      <x:c r="P45" s="16" t="str">
        <x:v>Direct experimental category for ARL; exact study details to verify.</x:v>
      </x:c>
      <x:c r="Q45" s="16" t="str">
        <x:v>Requires structured comparison against ARL sensing, interaction, decision, and synchronization features.</x:v>
      </x:c>
      <x:c r="R45" s="16" t="str">
        <x:v>Must read</x:v>
      </x:c>
      <x:c r="S45" s="16" t="str">
        <x:v>Candidate — needs primary-source verification</x:v>
      </x:c>
      <x:c r="T45" s="16" t="str">
        <x:v>Not read</x:v>
      </x:c>
      <x:c r="U45" s="16" t="str">
        <x:v>Targeted literature expansion</x:v>
      </x:c>
      <x:c r="V45" s="16" t="str">
        <x:v>Pending</x:v>
      </x:c>
      <x:c r="W45" s="16" t="str"/>
      <x:c r="X45" s="16" t="str">
        <x:v>Added during expansion from 50 to 150 records.</x:v>
      </x:c>
      <x:c r="Y45" s="16" t="str"/>
    </x:row>
    <x:row r="46">
      <x:c r="A46" s="16" t="str">
        <x:v>MDMER-0120</x:v>
      </x:c>
      <x:c r="B46" s="16" t="str">
        <x:v>Tier 2</x:v>
      </x:c>
      <x:c r="C46" s="16" t="str">
        <x:v>Social/group neuroscience</x:v>
      </x:c>
      <x:c r="D46" s="16" t="str">
        <x:v>Research paper</x:v>
      </x:c>
      <x:c r="E46" s="16" t="str">
        <x:v>Physiological Synchrony and Team Performance</x:v>
      </x:c>
      <x:c r="F46" s="16" t="n">
        <x:v>2016</x:v>
      </x:c>
      <x:c r="G46" s="16" t="str">
        <x:v>Palumbo et al.</x:v>
      </x:c>
      <x:c r="H46" s="16" t="str"/>
      <x:c r="I46" s="16" t="str">
        <x:v>ECG/EDA/respiration review</x:v>
      </x:c>
      <x:c r="J46" s="16" t="str">
        <x:v>Dyads/teams</x:v>
      </x:c>
      <x:c r="K46" s="16" t="str">
        <x:v>Collaborative tasks</x:v>
      </x:c>
      <x:c r="L46" s="16" t="str">
        <x:v>Article</x:v>
      </x:c>
      <x:c r="M46" s="16" t="str"/>
      <x:c r="N46" s="16" t="str">
        <x:v>https://scholar.google.com/scholar?q=Interpersonal+autonomic+physiology+a+systematic+review+of+the+literature+Palumbo+physiological+synchrony</x:v>
      </x:c>
      <x:c r="O46" s="16" t="str">
        <x:v>Background evidence</x:v>
      </x:c>
      <x:c r="P46" s="16" t="str">
        <x:v>Provides framework for interpersonal physiological synchrony.</x:v>
      </x:c>
      <x:c r="Q46" s="16" t="str">
        <x:v>Requires structured comparison against ARL sensing, interaction, decision, and synchronization features.</x:v>
      </x:c>
      <x:c r="R46" s="16" t="str">
        <x:v>High</x:v>
      </x:c>
      <x:c r="S46" s="16" t="str">
        <x:v>Candidate — needs primary-source verification</x:v>
      </x:c>
      <x:c r="T46" s="16" t="str">
        <x:v>Not read</x:v>
      </x:c>
      <x:c r="U46" s="16" t="str">
        <x:v>Targeted literature expansion</x:v>
      </x:c>
      <x:c r="V46" s="16" t="str">
        <x:v>Pending</x:v>
      </x:c>
      <x:c r="W46" s="16" t="str"/>
      <x:c r="X46" s="16" t="str">
        <x:v>Added during expansion from 50 to 150 records.</x:v>
      </x:c>
      <x:c r="Y46" s="16" t="str"/>
    </x:row>
    <x:row r="47">
      <x:c r="A47" s="16" t="str">
        <x:v>MDMER-0124</x:v>
      </x:c>
      <x:c r="B47" s="16" t="str">
        <x:v>Tier 2</x:v>
      </x:c>
      <x:c r="C47" s="16" t="str">
        <x:v>Social/group neuroscience</x:v>
      </x:c>
      <x:c r="D47" s="16" t="str">
        <x:v>Research paper</x:v>
      </x:c>
      <x:c r="E47" s="16" t="str">
        <x:v>Interbrain Synchrony during Joint Attention</x:v>
      </x:c>
      <x:c r="F47" s="16" t="n">
        <x:v>2017</x:v>
      </x:c>
      <x:c r="G47" s="16" t="str">
        <x:v>Piazza et al.</x:v>
      </x:c>
      <x:c r="H47" s="16" t="str"/>
      <x:c r="I47" s="16" t="str">
        <x:v>fNIRS hyperscanning</x:v>
      </x:c>
      <x:c r="J47" s="16" t="str">
        <x:v>Dyads</x:v>
      </x:c>
      <x:c r="K47" s="16" t="str">
        <x:v>Joint attention / communication</x:v>
      </x:c>
      <x:c r="L47" s="16" t="str">
        <x:v>Article</x:v>
      </x:c>
      <x:c r="M47" s="16" t="str"/>
      <x:c r="N47" s="16" t="str">
        <x:v>https://scholar.google.com/scholar?q=Infant+and+adult+brains+are+coupled+to+the+dynamics+of+natural+communication+Piazza</x:v>
      </x:c>
      <x:c r="O47" s="16" t="str">
        <x:v>Social/group comparator</x:v>
      </x:c>
      <x:c r="P47" s="16" t="str">
        <x:v>Joint-attention synchrony precedent.</x:v>
      </x:c>
      <x:c r="Q47" s="16" t="str">
        <x:v>Requires structured comparison against ARL sensing, interaction, decision, and synchronization features.</x:v>
      </x:c>
      <x:c r="R47" s="16" t="str">
        <x:v>Medium</x:v>
      </x:c>
      <x:c r="S47" s="16" t="str">
        <x:v>Candidate — needs primary-source verification</x:v>
      </x:c>
      <x:c r="T47" s="16" t="str">
        <x:v>Not read</x:v>
      </x:c>
      <x:c r="U47" s="16" t="str">
        <x:v>Targeted literature expansion</x:v>
      </x:c>
      <x:c r="V47" s="16" t="str">
        <x:v>Pending</x:v>
      </x:c>
      <x:c r="W47" s="16" t="str"/>
      <x:c r="X47" s="16" t="str">
        <x:v>Added during expansion from 50 to 150 records.</x:v>
      </x:c>
      <x:c r="Y47" s="16" t="str"/>
    </x:row>
    <x:row r="48">
      <x:c r="A48" s="16" t="str">
        <x:v>MDMER-0125</x:v>
      </x:c>
      <x:c r="B48" s="16" t="str">
        <x:v>Tier 2</x:v>
      </x:c>
      <x:c r="C48" s="16" t="str">
        <x:v>Social/group neuroscience</x:v>
      </x:c>
      <x:c r="D48" s="16" t="str">
        <x:v>Research paper</x:v>
      </x:c>
      <x:c r="E48" s="16" t="str">
        <x:v>Interpersonal Brain Synchronization during Cooperation and Competition</x:v>
      </x:c>
      <x:c r="F48" s="16" t="n">
        <x:v>2017</x:v>
      </x:c>
      <x:c r="G48" s="16" t="str">
        <x:v>Pan et al.</x:v>
      </x:c>
      <x:c r="H48" s="16" t="str"/>
      <x:c r="I48" s="16" t="str">
        <x:v>fNIRS hyperscanning</x:v>
      </x:c>
      <x:c r="J48" s="16" t="str">
        <x:v>Dyads</x:v>
      </x:c>
      <x:c r="K48" s="16" t="str">
        <x:v>Cooperation vs competition</x:v>
      </x:c>
      <x:c r="L48" s="16" t="str">
        <x:v>Article</x:v>
      </x:c>
      <x:c r="M48" s="16" t="str"/>
      <x:c r="N48" s="16" t="str">
        <x:v>https://scholar.google.com/scholar?q=Interpersonal+brain+synchronization+with+cooperation+and+competition+fNIRS+Pan</x:v>
      </x:c>
      <x:c r="O48" s="16" t="str">
        <x:v>Social/group comparator</x:v>
      </x:c>
      <x:c r="P48" s="16" t="str">
        <x:v>Direct comparison of cooperative/competitive states.</x:v>
      </x:c>
      <x:c r="Q48" s="16" t="str">
        <x:v>Requires structured comparison against ARL sensing, interaction, decision, and synchronization features.</x:v>
      </x:c>
      <x:c r="R48" s="16" t="str">
        <x:v>High</x:v>
      </x:c>
      <x:c r="S48" s="16" t="str">
        <x:v>Candidate — needs primary-source verification</x:v>
      </x:c>
      <x:c r="T48" s="16" t="str">
        <x:v>Not read</x:v>
      </x:c>
      <x:c r="U48" s="16" t="str">
        <x:v>Targeted literature expansion</x:v>
      </x:c>
      <x:c r="V48" s="16" t="str">
        <x:v>Pending</x:v>
      </x:c>
      <x:c r="W48" s="16" t="str"/>
      <x:c r="X48" s="16" t="str">
        <x:v>Added during expansion from 50 to 150 records.</x:v>
      </x:c>
      <x:c r="Y48" s="16" t="str"/>
    </x:row>
    <x:row r="49">
      <x:c r="A49" s="16" t="str">
        <x:v>MDMER-0126</x:v>
      </x:c>
      <x:c r="B49" s="16" t="str">
        <x:v>Tier 2</x:v>
      </x:c>
      <x:c r="C49" s="16" t="str">
        <x:v>Social/group neuroscience</x:v>
      </x:c>
      <x:c r="D49" s="16" t="str">
        <x:v>Research paper</x:v>
      </x:c>
      <x:c r="E49" s="16" t="str">
        <x:v>Neural Synchrony in Teams during Real-World Collaborative Tasks</x:v>
      </x:c>
      <x:c r="F49" s="16" t="n">
        <x:v>2020</x:v>
      </x:c>
      <x:c r="G49" s="16" t="str">
        <x:v>Multiple authors</x:v>
      </x:c>
      <x:c r="H49" s="16" t="str"/>
      <x:c r="I49" s="16" t="str">
        <x:v>EEG hyperscanning</x:v>
      </x:c>
      <x:c r="J49" s="16" t="str">
        <x:v>Teams</x:v>
      </x:c>
      <x:c r="K49" s="16" t="str">
        <x:v>Team collaboration</x:v>
      </x:c>
      <x:c r="L49" s="16" t="str">
        <x:v>Article</x:v>
      </x:c>
      <x:c r="M49" s="16" t="str"/>
      <x:c r="N49" s="16" t="str">
        <x:v>https://scholar.google.com/scholar?q=EEG+hyperscanning+team+collaboration+real+world+task</x:v>
      </x:c>
      <x:c r="O49" s="16" t="str">
        <x:v>Social/group comparator</x:v>
      </x:c>
      <x:c r="P49" s="16" t="str">
        <x:v>Candidate team-neurophysiology comparator.</x:v>
      </x:c>
      <x:c r="Q49" s="16" t="str">
        <x:v>Requires structured comparison against ARL sensing, interaction, decision, and synchronization features.</x:v>
      </x:c>
      <x:c r="R49" s="16" t="str">
        <x:v>High</x:v>
      </x:c>
      <x:c r="S49" s="16" t="str">
        <x:v>Candidate — needs primary-source verification</x:v>
      </x:c>
      <x:c r="T49" s="16" t="str">
        <x:v>Not read</x:v>
      </x:c>
      <x:c r="U49" s="16" t="str">
        <x:v>Targeted literature expansion</x:v>
      </x:c>
      <x:c r="V49" s="16" t="str">
        <x:v>Pending</x:v>
      </x:c>
      <x:c r="W49" s="16" t="str"/>
      <x:c r="X49" s="16" t="str">
        <x:v>Added during expansion from 50 to 150 records.</x:v>
      </x:c>
      <x:c r="Y49" s="16" t="str"/>
    </x:row>
    <x:row r="50">
      <x:c r="A50" s="16" t="str">
        <x:v>MDMER-0127</x:v>
      </x:c>
      <x:c r="B50" s="16" t="str">
        <x:v>Tier 2</x:v>
      </x:c>
      <x:c r="C50" s="16" t="str">
        <x:v>Social/group neuroscience</x:v>
      </x:c>
      <x:c r="D50" s="16" t="str">
        <x:v>Research paper</x:v>
      </x:c>
      <x:c r="E50" s="16" t="str">
        <x:v>Group Flow and Inter-Brain Synchrony</x:v>
      </x:c>
      <x:c r="F50" s="16" t="n">
        <x:v>2021</x:v>
      </x:c>
      <x:c r="G50" s="16" t="str">
        <x:v>Shehata et al.</x:v>
      </x:c>
      <x:c r="H50" s="16" t="str"/>
      <x:c r="I50" s="16" t="str">
        <x:v>EEG hyperscanning</x:v>
      </x:c>
      <x:c r="J50" s="16" t="str">
        <x:v>Teams</x:v>
      </x:c>
      <x:c r="K50" s="16" t="str">
        <x:v>Music/group flow</x:v>
      </x:c>
      <x:c r="L50" s="16" t="str">
        <x:v>Article</x:v>
      </x:c>
      <x:c r="M50" s="16" t="str"/>
      <x:c r="N50" s="16" t="str">
        <x:v>https://scholar.google.com/scholar?q=Team+flow+is+a+unique+brain+state+associated+with+enhanced+information+integration+and+interbrain+synchrony</x:v>
      </x:c>
      <x:c r="O50" s="16" t="str">
        <x:v>Social/group comparator</x:v>
      </x:c>
      <x:c r="P50" s="16" t="str">
        <x:v>Multi-person neural synchrony and group state.</x:v>
      </x:c>
      <x:c r="Q50" s="16" t="str">
        <x:v>Requires structured comparison against ARL sensing, interaction, decision, and synchronization features.</x:v>
      </x:c>
      <x:c r="R50" s="16" t="str">
        <x:v>Medium</x:v>
      </x:c>
      <x:c r="S50" s="16" t="str">
        <x:v>Candidate — needs primary-source verification</x:v>
      </x:c>
      <x:c r="T50" s="16" t="str">
        <x:v>Not read</x:v>
      </x:c>
      <x:c r="U50" s="16" t="str">
        <x:v>Targeted literature expansion</x:v>
      </x:c>
      <x:c r="V50" s="16" t="str">
        <x:v>Pending</x:v>
      </x:c>
      <x:c r="W50" s="16" t="str"/>
      <x:c r="X50" s="16" t="str">
        <x:v>Added during expansion from 50 to 150 records.</x:v>
      </x:c>
      <x:c r="Y50" s="16" t="str"/>
    </x:row>
    <x:row r="51">
      <x:c r="A51" s="16" t="str">
        <x:v>MDMER-0128</x:v>
      </x:c>
      <x:c r="B51" s="16" t="str">
        <x:v>Tier 2</x:v>
      </x:c>
      <x:c r="C51" s="16" t="str">
        <x:v>Social/group neuroscience</x:v>
      </x:c>
      <x:c r="D51" s="16" t="str">
        <x:v>Research paper</x:v>
      </x:c>
      <x:c r="E51" s="16" t="str">
        <x:v>Physiological Coupling in Collaborative Problem Solving</x:v>
      </x:c>
      <x:c r="F51" s="16" t="n">
        <x:v>2018</x:v>
      </x:c>
      <x:c r="G51" s="16" t="str">
        <x:v>Multiple authors</x:v>
      </x:c>
      <x:c r="H51" s="16" t="str"/>
      <x:c r="I51" s="16" t="str">
        <x:v>EDA; ECG/HR</x:v>
      </x:c>
      <x:c r="J51" s="16" t="str">
        <x:v>Dyads/groups</x:v>
      </x:c>
      <x:c r="K51" s="16" t="str">
        <x:v>Collaborative problem solving</x:v>
      </x:c>
      <x:c r="L51" s="16" t="str">
        <x:v>Article</x:v>
      </x:c>
      <x:c r="M51" s="16" t="str"/>
      <x:c r="N51" s="16" t="str">
        <x:v>https://scholar.google.com/scholar?q=physiological+synchrony+collaborative+problem+solving+electrodermal+heart+rate</x:v>
      </x:c>
      <x:c r="O51" s="16" t="str">
        <x:v>Social/group comparator</x:v>
      </x:c>
      <x:c r="P51" s="16" t="str">
        <x:v>Peripheral synchrony during joint tasks.</x:v>
      </x:c>
      <x:c r="Q51" s="16" t="str">
        <x:v>Requires structured comparison against ARL sensing, interaction, decision, and synchronization features.</x:v>
      </x:c>
      <x:c r="R51" s="16" t="str">
        <x:v>High</x:v>
      </x:c>
      <x:c r="S51" s="16" t="str">
        <x:v>Candidate — needs primary-source verification</x:v>
      </x:c>
      <x:c r="T51" s="16" t="str">
        <x:v>Not read</x:v>
      </x:c>
      <x:c r="U51" s="16" t="str">
        <x:v>Targeted literature expansion</x:v>
      </x:c>
      <x:c r="V51" s="16" t="str">
        <x:v>Pending</x:v>
      </x:c>
      <x:c r="W51" s="16" t="str"/>
      <x:c r="X51" s="16" t="str">
        <x:v>Added during expansion from 50 to 150 records.</x:v>
      </x:c>
      <x:c r="Y51" s="16" t="str"/>
    </x:row>
    <x:row r="52">
      <x:c r="A52" s="16" t="str">
        <x:v>MDMER-0129</x:v>
      </x:c>
      <x:c r="B52" s="16" t="str">
        <x:v>Tier 2</x:v>
      </x:c>
      <x:c r="C52" s="16" t="str">
        <x:v>Social/group neuroscience</x:v>
      </x:c>
      <x:c r="D52" s="16" t="str">
        <x:v>Research paper</x:v>
      </x:c>
      <x:c r="E52" s="16" t="str">
        <x:v>Electrodermal Synchrony during Team Collaboration</x:v>
      </x:c>
      <x:c r="F52" s="16" t="n">
        <x:v>2014</x:v>
      </x:c>
      <x:c r="G52" s="16" t="str">
        <x:v>Multiple authors</x:v>
      </x:c>
      <x:c r="H52" s="16" t="str"/>
      <x:c r="I52" s="16" t="str">
        <x:v>EDA</x:v>
      </x:c>
      <x:c r="J52" s="16" t="str">
        <x:v>Groups</x:v>
      </x:c>
      <x:c r="K52" s="16" t="str">
        <x:v>Team task</x:v>
      </x:c>
      <x:c r="L52" s="16" t="str">
        <x:v>Article</x:v>
      </x:c>
      <x:c r="M52" s="16" t="str"/>
      <x:c r="N52" s="16" t="str">
        <x:v>https://scholar.google.com/scholar?q=electrodermal+synchrony+team+collaboration+performance</x:v>
      </x:c>
      <x:c r="O52" s="16" t="str">
        <x:v>Social/group comparator</x:v>
      </x:c>
      <x:c r="P52" s="16" t="str">
        <x:v>EDA synchrony as group-interaction marker.</x:v>
      </x:c>
      <x:c r="Q52" s="16" t="str">
        <x:v>Requires structured comparison against ARL sensing, interaction, decision, and synchronization features.</x:v>
      </x:c>
      <x:c r="R52" s="16" t="str">
        <x:v>Medium</x:v>
      </x:c>
      <x:c r="S52" s="16" t="str">
        <x:v>Candidate — needs primary-source verification</x:v>
      </x:c>
      <x:c r="T52" s="16" t="str">
        <x:v>Not read</x:v>
      </x:c>
      <x:c r="U52" s="16" t="str">
        <x:v>Targeted literature expansion</x:v>
      </x:c>
      <x:c r="V52" s="16" t="str">
        <x:v>Pending</x:v>
      </x:c>
      <x:c r="W52" s="16" t="str"/>
      <x:c r="X52" s="16" t="str">
        <x:v>Added during expansion from 50 to 150 records.</x:v>
      </x:c>
      <x:c r="Y52" s="16" t="str"/>
    </x:row>
    <x:row r="53">
      <x:c r="A53" s="16" t="str">
        <x:v>MDMER-0132</x:v>
      </x:c>
      <x:c r="B53" s="16" t="str">
        <x:v>Tier 3</x:v>
      </x:c>
      <x:c r="C53" s="16" t="str">
        <x:v>Deception and trust</x:v>
      </x:c>
      <x:c r="D53" s="16" t="str">
        <x:v>Research paper</x:v>
      </x:c>
      <x:c r="E53" s="16" t="str">
        <x:v>The Truth and Nothing but the Truth: Multimodal Deception Detection</x:v>
      </x:c>
      <x:c r="F53" s="16" t="n">
        <x:v>2019</x:v>
      </x:c>
      <x:c r="G53" s="16" t="str">
        <x:v>Multiple authors</x:v>
      </x:c>
      <x:c r="H53" s="16" t="str"/>
      <x:c r="I53" s="16" t="str">
        <x:v>Video; audio; text; behavioral cues</x:v>
      </x:c>
      <x:c r="J53" s="16" t="str">
        <x:v>Individual/dyadic interviews</x:v>
      </x:c>
      <x:c r="K53" s="16" t="str">
        <x:v>Deception interviews</x:v>
      </x:c>
      <x:c r="L53" s="16" t="str">
        <x:v>Article/dataset</x:v>
      </x:c>
      <x:c r="M53" s="16" t="str"/>
      <x:c r="N53" s="16" t="str">
        <x:v>https://scholar.google.com/scholar?q=multimodal+deception+detection+audio+video+physiological</x:v>
      </x:c>
      <x:c r="O53" s="16" t="str">
        <x:v>Deception comparator</x:v>
      </x:c>
      <x:c r="P53" s="16" t="str">
        <x:v>Behavioral multimodal deception benchmark.</x:v>
      </x:c>
      <x:c r="Q53" s="16" t="str">
        <x:v>Requires structured comparison against ARL sensing, interaction, decision, and synchronization features.</x:v>
      </x:c>
      <x:c r="R53" s="16" t="str">
        <x:v>Medium</x:v>
      </x:c>
      <x:c r="S53" s="16" t="str">
        <x:v>Candidate — needs primary-source verification</x:v>
      </x:c>
      <x:c r="T53" s="16" t="str">
        <x:v>Not read</x:v>
      </x:c>
      <x:c r="U53" s="16" t="str">
        <x:v>Targeted literature expansion</x:v>
      </x:c>
      <x:c r="V53" s="16" t="str">
        <x:v>Pending</x:v>
      </x:c>
      <x:c r="W53" s="16" t="str"/>
      <x:c r="X53" s="16" t="str">
        <x:v>Added during expansion from 50 to 150 records.</x:v>
      </x:c>
      <x:c r="Y53" s="16" t="str"/>
    </x:row>
    <x:row r="54">
      <x:c r="A54" s="16" t="str">
        <x:v>MDMER-0133</x:v>
      </x:c>
      <x:c r="B54" s="16" t="str">
        <x:v>Tier 3</x:v>
      </x:c>
      <x:c r="C54" s="16" t="str">
        <x:v>Deception and trust</x:v>
      </x:c>
      <x:c r="D54" s="16" t="str">
        <x:v>Research paper</x:v>
      </x:c>
      <x:c r="E54" s="16" t="str">
        <x:v>Neural Signatures of Spontaneous Deception</x:v>
      </x:c>
      <x:c r="F54" s="16" t="n">
        <x:v>2009</x:v>
      </x:c>
      <x:c r="G54" s="16" t="str">
        <x:v>Ganis et al./related</x:v>
      </x:c>
      <x:c r="H54" s="16" t="str"/>
      <x:c r="I54" s="16" t="str">
        <x:v>fMRI/EEG</x:v>
      </x:c>
      <x:c r="J54" s="16" t="str">
        <x:v>Individual</x:v>
      </x:c>
      <x:c r="K54" s="16" t="str">
        <x:v>Spontaneous vs instructed lying</x:v>
      </x:c>
      <x:c r="L54" s="16" t="str">
        <x:v>Article</x:v>
      </x:c>
      <x:c r="M54" s="16" t="str"/>
      <x:c r="N54" s="16" t="str">
        <x:v>https://scholar.google.com/scholar?q=neural+signatures+spontaneous+deception+EEG+fMRI</x:v>
      </x:c>
      <x:c r="O54" s="16" t="str">
        <x:v>Background evidence</x:v>
      </x:c>
      <x:c r="P54" s="16" t="str">
        <x:v>Theoretical deception neuroscience.</x:v>
      </x:c>
      <x:c r="Q54" s="16" t="str">
        <x:v>Requires structured comparison against ARL sensing, interaction, decision, and synchronization features.</x:v>
      </x:c>
      <x:c r="R54" s="16" t="str">
        <x:v>Medium</x:v>
      </x:c>
      <x:c r="S54" s="16" t="str">
        <x:v>Candidate — needs primary-source verification</x:v>
      </x:c>
      <x:c r="T54" s="16" t="str">
        <x:v>Not read</x:v>
      </x:c>
      <x:c r="U54" s="16" t="str">
        <x:v>Targeted literature expansion</x:v>
      </x:c>
      <x:c r="V54" s="16" t="str">
        <x:v>Pending</x:v>
      </x:c>
      <x:c r="W54" s="16" t="str"/>
      <x:c r="X54" s="16" t="str">
        <x:v>Added during expansion from 50 to 150 records.</x:v>
      </x:c>
      <x:c r="Y54" s="16" t="str"/>
    </x:row>
    <x:row r="55">
      <x:c r="A55" s="16" t="str">
        <x:v>MDMER-0134</x:v>
      </x:c>
      <x:c r="B55" s="16" t="str">
        <x:v>Tier 3</x:v>
      </x:c>
      <x:c r="C55" s="16" t="str">
        <x:v>Deception and trust</x:v>
      </x:c>
      <x:c r="D55" s="16" t="str">
        <x:v>Research paper</x:v>
      </x:c>
      <x:c r="E55" s="16" t="str">
        <x:v>Event-Related Potentials in Concealed Information and Deception Detection</x:v>
      </x:c>
      <x:c r="F55" s="16" t="n">
        <x:v>2008</x:v>
      </x:c>
      <x:c r="G55" s="16" t="str">
        <x:v>Rosenfeld et al.</x:v>
      </x:c>
      <x:c r="H55" s="16" t="str"/>
      <x:c r="I55" s="16" t="str">
        <x:v>EEG/ERP</x:v>
      </x:c>
      <x:c r="J55" s="16" t="str">
        <x:v>Individual</x:v>
      </x:c>
      <x:c r="K55" s="16" t="str">
        <x:v>Concealed information test</x:v>
      </x:c>
      <x:c r="L55" s="16" t="str">
        <x:v>Article</x:v>
      </x:c>
      <x:c r="M55" s="16" t="str"/>
      <x:c r="N55" s="16" t="str">
        <x:v>https://scholar.google.com/scholar?q=P300+concealed+information+test+deception+Rosenfeld</x:v>
      </x:c>
      <x:c r="O55" s="16" t="str">
        <x:v>Background evidence</x:v>
      </x:c>
      <x:c r="P55" s="16" t="str">
        <x:v>Classic EEG deception methodology.</x:v>
      </x:c>
      <x:c r="Q55" s="16" t="str">
        <x:v>Requires structured comparison against ARL sensing, interaction, decision, and synchronization features.</x:v>
      </x:c>
      <x:c r="R55" s="16" t="str">
        <x:v>Medium</x:v>
      </x:c>
      <x:c r="S55" s="16" t="str">
        <x:v>Candidate — needs primary-source verification</x:v>
      </x:c>
      <x:c r="T55" s="16" t="str">
        <x:v>Not read</x:v>
      </x:c>
      <x:c r="U55" s="16" t="str">
        <x:v>Targeted literature expansion</x:v>
      </x:c>
      <x:c r="V55" s="16" t="str">
        <x:v>Pending</x:v>
      </x:c>
      <x:c r="W55" s="16" t="str"/>
      <x:c r="X55" s="16" t="str">
        <x:v>Added during expansion from 50 to 150 records.</x:v>
      </x:c>
      <x:c r="Y55" s="16" t="str"/>
    </x:row>
    <x:row r="56">
      <x:c r="A56" s="16" t="str">
        <x:v>MDMER-0136</x:v>
      </x:c>
      <x:c r="B56" s="16" t="str">
        <x:v>Tier 1</x:v>
      </x:c>
      <x:c r="C56" s="16" t="str">
        <x:v>Deception and trust</x:v>
      </x:c>
      <x:c r="D56" s="16" t="str">
        <x:v>Research paper</x:v>
      </x:c>
      <x:c r="E56" s="16" t="str">
        <x:v>Trust Game: Neural Correlates of Trust and Reciprocity</x:v>
      </x:c>
      <x:c r="F56" s="16" t="n">
        <x:v>2005</x:v>
      </x:c>
      <x:c r="G56" s="16" t="str">
        <x:v>King-Casas et al.</x:v>
      </x:c>
      <x:c r="H56" s="16" t="str"/>
      <x:c r="I56" s="16" t="str">
        <x:v>fMRI; behavior</x:v>
      </x:c>
      <x:c r="J56" s="16" t="str">
        <x:v>Dyads</x:v>
      </x:c>
      <x:c r="K56" s="16" t="str">
        <x:v>Iterated trust game</x:v>
      </x:c>
      <x:c r="L56" s="16" t="str">
        <x:v>Article</x:v>
      </x:c>
      <x:c r="M56" s="16" t="str"/>
      <x:c r="N56" s="16" t="str">
        <x:v>https://scholar.google.com/scholar?q=Getting+to+know+you+reputation+and+trust+in+a+two-person+economic+exchange+King-Casas</x:v>
      </x:c>
      <x:c r="O56" s="16" t="str">
        <x:v>Social/group comparator</x:v>
      </x:c>
      <x:c r="P56" s="16" t="str">
        <x:v>Canonical repeated social decision and belief-updating paradigm.</x:v>
      </x:c>
      <x:c r="Q56" s="16" t="str">
        <x:v>Requires structured comparison against ARL sensing, interaction, decision, and synchronization features.</x:v>
      </x:c>
      <x:c r="R56" s="16" t="str">
        <x:v>Must read</x:v>
      </x:c>
      <x:c r="S56" s="16" t="str">
        <x:v>Candidate — needs primary-source verification</x:v>
      </x:c>
      <x:c r="T56" s="16" t="str">
        <x:v>Not read</x:v>
      </x:c>
      <x:c r="U56" s="16" t="str">
        <x:v>Targeted literature expansion</x:v>
      </x:c>
      <x:c r="V56" s="16" t="str">
        <x:v>Pending</x:v>
      </x:c>
      <x:c r="W56" s="16" t="str"/>
      <x:c r="X56" s="16" t="str">
        <x:v>Added during expansion from 50 to 150 records.</x:v>
      </x:c>
      <x:c r="Y56" s="16" t="str"/>
    </x:row>
    <x:row r="57">
      <x:c r="A57" s="16" t="str">
        <x:v>MDMER-0137</x:v>
      </x:c>
      <x:c r="B57" s="16" t="str">
        <x:v>Tier 2</x:v>
      </x:c>
      <x:c r="C57" s="16" t="str">
        <x:v>Deception and trust</x:v>
      </x:c>
      <x:c r="D57" s="16" t="str">
        <x:v>Research paper</x:v>
      </x:c>
      <x:c r="E57" s="16" t="str">
        <x:v>The Neural Basis of Trust</x:v>
      </x:c>
      <x:c r="F57" s="16" t="n">
        <x:v>2002</x:v>
      </x:c>
      <x:c r="G57" s="16" t="str">
        <x:v>McCabe et al.</x:v>
      </x:c>
      <x:c r="H57" s="16" t="str"/>
      <x:c r="I57" s="16" t="str">
        <x:v>fMRI; behavior</x:v>
      </x:c>
      <x:c r="J57" s="16" t="str">
        <x:v>Dyads</x:v>
      </x:c>
      <x:c r="K57" s="16" t="str">
        <x:v>Trust game</x:v>
      </x:c>
      <x:c r="L57" s="16" t="str">
        <x:v>Article</x:v>
      </x:c>
      <x:c r="M57" s="16" t="str"/>
      <x:c r="N57" s="16" t="str">
        <x:v>https://scholar.google.com/scholar?q=A+functional+imaging+study+of+cooperation+in+two-person+reciprocal+exchange</x:v>
      </x:c>
      <x:c r="O57" s="16" t="str">
        <x:v>Social/group comparator</x:v>
      </x:c>
      <x:c r="P57" s="16" t="str">
        <x:v>Foundational social-decision neuroscience.</x:v>
      </x:c>
      <x:c r="Q57" s="16" t="str">
        <x:v>Requires structured comparison against ARL sensing, interaction, decision, and synchronization features.</x:v>
      </x:c>
      <x:c r="R57" s="16" t="str">
        <x:v>High</x:v>
      </x:c>
      <x:c r="S57" s="16" t="str">
        <x:v>Candidate — needs primary-source verification</x:v>
      </x:c>
      <x:c r="T57" s="16" t="str">
        <x:v>Not read</x:v>
      </x:c>
      <x:c r="U57" s="16" t="str">
        <x:v>Targeted literature expansion</x:v>
      </x:c>
      <x:c r="V57" s="16" t="str">
        <x:v>Pending</x:v>
      </x:c>
      <x:c r="W57" s="16" t="str"/>
      <x:c r="X57" s="16" t="str">
        <x:v>Added during expansion from 50 to 150 records.</x:v>
      </x:c>
      <x:c r="Y57" s="16" t="str"/>
    </x:row>
    <x:row r="58">
      <x:c r="A58" s="16" t="str">
        <x:v>MDMER-0138</x:v>
      </x:c>
      <x:c r="B58" s="16" t="str">
        <x:v>Tier 3</x:v>
      </x:c>
      <x:c r="C58" s="16" t="str">
        <x:v>Deception and trust</x:v>
      </x:c>
      <x:c r="D58" s="16" t="str">
        <x:v>Research paper</x:v>
      </x:c>
      <x:c r="E58" s="16" t="str">
        <x:v>Oxytocin Increases Trust in Humans</x:v>
      </x:c>
      <x:c r="F58" s="16" t="n">
        <x:v>2005</x:v>
      </x:c>
      <x:c r="G58" s="16" t="str">
        <x:v>Kosfeld et al.</x:v>
      </x:c>
      <x:c r="H58" s="16" t="str"/>
      <x:c r="I58" s="16" t="str">
        <x:v>Behavior; hormonal intervention</x:v>
      </x:c>
      <x:c r="J58" s="16" t="str">
        <x:v>Dyads</x:v>
      </x:c>
      <x:c r="K58" s="16" t="str">
        <x:v>Trust game</x:v>
      </x:c>
      <x:c r="L58" s="16" t="str">
        <x:v>Article</x:v>
      </x:c>
      <x:c r="M58" s="16" t="str"/>
      <x:c r="N58" s="16" t="str">
        <x:v>https://scholar.google.com/scholar?q=Oxytocin+increases+trust+in+humans+Nature+2005</x:v>
      </x:c>
      <x:c r="O58" s="16" t="str">
        <x:v>Background evidence</x:v>
      </x:c>
      <x:c r="P58" s="16" t="str">
        <x:v>Classic trust-game study.</x:v>
      </x:c>
      <x:c r="Q58" s="16" t="str">
        <x:v>Requires structured comparison against ARL sensing, interaction, decision, and synchronization features.</x:v>
      </x:c>
      <x:c r="R58" s="16" t="str">
        <x:v>Medium</x:v>
      </x:c>
      <x:c r="S58" s="16" t="str">
        <x:v>Candidate — needs primary-source verification</x:v>
      </x:c>
      <x:c r="T58" s="16" t="str">
        <x:v>Not read</x:v>
      </x:c>
      <x:c r="U58" s="16" t="str">
        <x:v>Targeted literature expansion</x:v>
      </x:c>
      <x:c r="V58" s="16" t="str">
        <x:v>Pending</x:v>
      </x:c>
      <x:c r="W58" s="16" t="str"/>
      <x:c r="X58" s="16" t="str">
        <x:v>Added during expansion from 50 to 150 records.</x:v>
      </x:c>
      <x:c r="Y58" s="16" t="str"/>
    </x:row>
    <x:row r="59">
      <x:c r="A59" s="16" t="str">
        <x:v>MDMER-0139</x:v>
      </x:c>
      <x:c r="B59" s="16" t="str">
        <x:v>Tier 1</x:v>
      </x:c>
      <x:c r="C59" s="16" t="str">
        <x:v>Deception and trust</x:v>
      </x:c>
      <x:c r="D59" s="16" t="str">
        <x:v>Research paper</x:v>
      </x:c>
      <x:c r="E59" s="16" t="str">
        <x:v>Neural Responses to Fairness in the Ultimatum Game</x:v>
      </x:c>
      <x:c r="F59" s="16" t="n">
        <x:v>2003</x:v>
      </x:c>
      <x:c r="G59" s="16" t="str">
        <x:v>Sanfey et al.</x:v>
      </x:c>
      <x:c r="H59" s="16" t="str"/>
      <x:c r="I59" s="16" t="str">
        <x:v>fMRI; behavior</x:v>
      </x:c>
      <x:c r="J59" s="16" t="str">
        <x:v>Dyads</x:v>
      </x:c>
      <x:c r="K59" s="16" t="str">
        <x:v>Ultimatum game</x:v>
      </x:c>
      <x:c r="L59" s="16" t="str">
        <x:v>Article</x:v>
      </x:c>
      <x:c r="M59" s="16" t="str"/>
      <x:c r="N59" s="16" t="str">
        <x:v>https://scholar.google.com/scholar?q=The+neural+basis+of+economic+decision-making+in+the+Ultimatum+Game</x:v>
      </x:c>
      <x:c r="O59" s="16" t="str">
        <x:v>Social/group comparator</x:v>
      </x:c>
      <x:c r="P59" s="16" t="str">
        <x:v>Canonical social decision conflict paradigm.</x:v>
      </x:c>
      <x:c r="Q59" s="16" t="str">
        <x:v>Requires structured comparison against ARL sensing, interaction, decision, and synchronization features.</x:v>
      </x:c>
      <x:c r="R59" s="16" t="str">
        <x:v>Must read</x:v>
      </x:c>
      <x:c r="S59" s="16" t="str">
        <x:v>Candidate — needs primary-source verification</x:v>
      </x:c>
      <x:c r="T59" s="16" t="str">
        <x:v>Not read</x:v>
      </x:c>
      <x:c r="U59" s="16" t="str">
        <x:v>Targeted literature expansion</x:v>
      </x:c>
      <x:c r="V59" s="16" t="str">
        <x:v>Pending</x:v>
      </x:c>
      <x:c r="W59" s="16" t="str"/>
      <x:c r="X59" s="16" t="str">
        <x:v>Added during expansion from 50 to 150 records.</x:v>
      </x:c>
      <x:c r="Y59" s="16" t="str"/>
    </x:row>
    <x:row r="60">
      <x:c r="A60" s="16" t="str">
        <x:v>MDMER-0140</x:v>
      </x:c>
      <x:c r="B60" s="16" t="str">
        <x:v>Tier 3</x:v>
      </x:c>
      <x:c r="C60" s="16" t="str">
        <x:v>Deception and trust</x:v>
      </x:c>
      <x:c r="D60" s="16" t="str">
        <x:v>Research paper</x:v>
      </x:c>
      <x:c r="E60" s="16" t="str">
        <x:v>Autonomic Responses during the Ultimatum Game</x:v>
      </x:c>
      <x:c r="F60" s="16" t="n">
        <x:v>2011</x:v>
      </x:c>
      <x:c r="G60" s="16" t="str">
        <x:v>Multiple authors</x:v>
      </x:c>
      <x:c r="H60" s="16" t="str"/>
      <x:c r="I60" s="16" t="str">
        <x:v>ECG/EDA; behavior</x:v>
      </x:c>
      <x:c r="J60" s="16" t="str">
        <x:v>Dyads</x:v>
      </x:c>
      <x:c r="K60" s="16" t="str">
        <x:v>Ultimatum game</x:v>
      </x:c>
      <x:c r="L60" s="16" t="str">
        <x:v>Article</x:v>
      </x:c>
      <x:c r="M60" s="16" t="str"/>
      <x:c r="N60" s="16" t="str">
        <x:v>https://scholar.google.com/scholar?q=skin+conductance+heart+rate+ultimatum+game+unfair+offers</x:v>
      </x:c>
      <x:c r="O60" s="16" t="str">
        <x:v>Decision-making comparator</x:v>
      </x:c>
      <x:c r="P60" s="16" t="str">
        <x:v>Peripheral physiology during social decisions.</x:v>
      </x:c>
      <x:c r="Q60" s="16" t="str">
        <x:v>Requires structured comparison against ARL sensing, interaction, decision, and synchronization features.</x:v>
      </x:c>
      <x:c r="R60" s="16" t="str">
        <x:v>High</x:v>
      </x:c>
      <x:c r="S60" s="16" t="str">
        <x:v>Candidate — needs primary-source verification</x:v>
      </x:c>
      <x:c r="T60" s="16" t="str">
        <x:v>Not read</x:v>
      </x:c>
      <x:c r="U60" s="16" t="str">
        <x:v>Targeted literature expansion</x:v>
      </x:c>
      <x:c r="V60" s="16" t="str">
        <x:v>Pending</x:v>
      </x:c>
      <x:c r="W60" s="16" t="str"/>
      <x:c r="X60" s="16" t="str">
        <x:v>Added during expansion from 50 to 150 records.</x:v>
      </x:c>
      <x:c r="Y60" s="16" t="str"/>
    </x:row>
    <x:row r="61">
      <x:c r="A61" s="16" t="str">
        <x:v>MDMER-0141</x:v>
      </x:c>
      <x:c r="B61" s="16" t="str">
        <x:v>Tier 3</x:v>
      </x:c>
      <x:c r="C61" s="16" t="str">
        <x:v>Deception and trust</x:v>
      </x:c>
      <x:c r="D61" s="16" t="str">
        <x:v>Research paper</x:v>
      </x:c>
      <x:c r="E61" s="16" t="str">
        <x:v>EEG Oscillations during Trust and Reciprocity Decisions</x:v>
      </x:c>
      <x:c r="F61" s="16" t="n">
        <x:v>2014</x:v>
      </x:c>
      <x:c r="G61" s="16" t="str">
        <x:v>Multiple authors</x:v>
      </x:c>
      <x:c r="H61" s="16" t="str"/>
      <x:c r="I61" s="16" t="str">
        <x:v>EEG; behavior</x:v>
      </x:c>
      <x:c r="J61" s="16" t="str">
        <x:v>Dyads</x:v>
      </x:c>
      <x:c r="K61" s="16" t="str">
        <x:v>Trust game</x:v>
      </x:c>
      <x:c r="L61" s="16" t="str">
        <x:v>Article</x:v>
      </x:c>
      <x:c r="M61" s="16" t="str"/>
      <x:c r="N61" s="16" t="str">
        <x:v>https://scholar.google.com/scholar?q=EEG+oscillations+trust+game+decision+making</x:v>
      </x:c>
      <x:c r="O61" s="16" t="str">
        <x:v>Decision-making comparator</x:v>
      </x:c>
      <x:c r="P61" s="16" t="str">
        <x:v>EEG trust decision comparator.</x:v>
      </x:c>
      <x:c r="Q61" s="16" t="str">
        <x:v>Requires structured comparison against ARL sensing, interaction, decision, and synchronization features.</x:v>
      </x:c>
      <x:c r="R61" s="16" t="str">
        <x:v>High</x:v>
      </x:c>
      <x:c r="S61" s="16" t="str">
        <x:v>Candidate — needs primary-source verification</x:v>
      </x:c>
      <x:c r="T61" s="16" t="str">
        <x:v>Not read</x:v>
      </x:c>
      <x:c r="U61" s="16" t="str">
        <x:v>Targeted literature expansion</x:v>
      </x:c>
      <x:c r="V61" s="16" t="str">
        <x:v>Pending</x:v>
      </x:c>
      <x:c r="W61" s="16" t="str"/>
      <x:c r="X61" s="16" t="str">
        <x:v>Added during expansion from 50 to 150 records.</x:v>
      </x:c>
      <x:c r="Y61" s="16" t="str"/>
    </x:row>
    <x:row r="62">
      <x:c r="A62" s="16" t="str">
        <x:v>MDMER-0142</x:v>
      </x:c>
      <x:c r="B62" s="16" t="str">
        <x:v>Tier 3</x:v>
      </x:c>
      <x:c r="C62" s="16" t="str">
        <x:v>Deception and trust</x:v>
      </x:c>
      <x:c r="D62" s="16" t="str">
        <x:v>Research paper</x:v>
      </x:c>
      <x:c r="E62" s="16" t="str">
        <x:v>Frontal Theta during Social Conflict and Fairness Decisions</x:v>
      </x:c>
      <x:c r="F62" s="16" t="n">
        <x:v>2016</x:v>
      </x:c>
      <x:c r="G62" s="16" t="str">
        <x:v>Multiple authors</x:v>
      </x:c>
      <x:c r="H62" s="16" t="str"/>
      <x:c r="I62" s="16" t="str">
        <x:v>EEG; behavior</x:v>
      </x:c>
      <x:c r="J62" s="16" t="str">
        <x:v>Dyads</x:v>
      </x:c>
      <x:c r="K62" s="16" t="str">
        <x:v>Ultimatum/social conflict</x:v>
      </x:c>
      <x:c r="L62" s="16" t="str">
        <x:v>Article</x:v>
      </x:c>
      <x:c r="M62" s="16" t="str"/>
      <x:c r="N62" s="16" t="str">
        <x:v>https://scholar.google.com/scholar?q=frontal+theta+social+conflict+ultimatum+game+EEG</x:v>
      </x:c>
      <x:c r="O62" s="16" t="str">
        <x:v>Decision-making comparator</x:v>
      </x:c>
      <x:c r="P62" s="16" t="str">
        <x:v>Links theta with social decision conflict.</x:v>
      </x:c>
      <x:c r="Q62" s="16" t="str">
        <x:v>Requires structured comparison against ARL sensing, interaction, decision, and synchronization features.</x:v>
      </x:c>
      <x:c r="R62" s="16" t="str">
        <x:v>High</x:v>
      </x:c>
      <x:c r="S62" s="16" t="str">
        <x:v>Candidate — needs primary-source verification</x:v>
      </x:c>
      <x:c r="T62" s="16" t="str">
        <x:v>Not read</x:v>
      </x:c>
      <x:c r="U62" s="16" t="str">
        <x:v>Targeted literature expansion</x:v>
      </x:c>
      <x:c r="V62" s="16" t="str">
        <x:v>Pending</x:v>
      </x:c>
      <x:c r="W62" s="16" t="str"/>
      <x:c r="X62" s="16" t="str">
        <x:v>Added during expansion from 50 to 150 records.</x:v>
      </x:c>
      <x:c r="Y62" s="16" t="str"/>
    </x:row>
    <x:row r="63">
      <x:c r="A63" s="16" t="str">
        <x:v>MDMER-0143</x:v>
      </x:c>
      <x:c r="B63" s="16" t="str">
        <x:v>Tier 2</x:v>
      </x:c>
      <x:c r="C63" s="16" t="str">
        <x:v>Deception and trust</x:v>
      </x:c>
      <x:c r="D63" s="16" t="str">
        <x:v>Research paper</x:v>
      </x:c>
      <x:c r="E63" s="16" t="str">
        <x:v>Physiological Signals of Trust in Human-Human Interaction</x:v>
      </x:c>
      <x:c r="F63" s="16" t="n">
        <x:v>2018</x:v>
      </x:c>
      <x:c r="G63" s="16" t="str">
        <x:v>Multiple authors</x:v>
      </x:c>
      <x:c r="H63" s="16" t="str"/>
      <x:c r="I63" s="16" t="str">
        <x:v>ECG; EDA; HRV</x:v>
      </x:c>
      <x:c r="J63" s="16" t="str">
        <x:v>Dyads</x:v>
      </x:c>
      <x:c r="K63" s="16" t="str">
        <x:v>Trust/cooperation task</x:v>
      </x:c>
      <x:c r="L63" s="16" t="str">
        <x:v>Article</x:v>
      </x:c>
      <x:c r="M63" s="16" t="str"/>
      <x:c r="N63" s="16" t="str">
        <x:v>https://scholar.google.com/scholar?q=physiological+signals+trust+human+interaction+ECG+EDA+HRV</x:v>
      </x:c>
      <x:c r="O63" s="16" t="str">
        <x:v>Social/group comparator</x:v>
      </x:c>
      <x:c r="P63" s="16" t="str">
        <x:v>Peripheral physiology and interpersonal trust.</x:v>
      </x:c>
      <x:c r="Q63" s="16" t="str">
        <x:v>Requires structured comparison against ARL sensing, interaction, decision, and synchronization features.</x:v>
      </x:c>
      <x:c r="R63" s="16" t="str">
        <x:v>High</x:v>
      </x:c>
      <x:c r="S63" s="16" t="str">
        <x:v>Candidate — needs primary-source verification</x:v>
      </x:c>
      <x:c r="T63" s="16" t="str">
        <x:v>Not read</x:v>
      </x:c>
      <x:c r="U63" s="16" t="str">
        <x:v>Targeted literature expansion</x:v>
      </x:c>
      <x:c r="V63" s="16" t="str">
        <x:v>Pending</x:v>
      </x:c>
      <x:c r="W63" s="16" t="str"/>
      <x:c r="X63" s="16" t="str">
        <x:v>Added during expansion from 50 to 150 records.</x:v>
      </x:c>
      <x:c r="Y63" s="16" t="str"/>
    </x:row>
    <x:row r="64">
      <x:c r="A64" s="16"/>
      <x:c r="B64" s="16"/>
      <x:c r="C64" s="16"/>
      <x:c r="D64" s="16"/>
      <x:c r="E64" s="16"/>
      <x:c r="F64" s="16"/>
      <x:c r="G64" s="16"/>
      <x:c r="H64" s="16"/>
      <x:c r="I64" s="16"/>
      <x:c r="J64" s="16"/>
      <x:c r="K64" s="16"/>
      <x:c r="L64" s="16"/>
      <x:c r="M64" s="16"/>
      <x:c r="N64" s="16"/>
      <x:c r="O64" s="16"/>
      <x:c r="P64" s="16"/>
      <x:c r="Q64" s="16"/>
      <x:c r="R64" s="16"/>
      <x:c r="S64" s="16"/>
      <x:c r="T64" s="16"/>
      <x:c r="U64" s="16"/>
      <x:c r="V64" s="16"/>
      <x:c r="W64" s="16"/>
      <x:c r="X64" s="16"/>
      <x:c r="Y64" s="16"/>
    </x:row>
    <x:row r="65">
      <x:c r="A65" s="16"/>
      <x:c r="B65" s="16"/>
      <x:c r="C65" s="16"/>
      <x:c r="D65" s="16"/>
      <x:c r="E65" s="16"/>
      <x:c r="F65" s="16"/>
      <x:c r="G65" s="16"/>
      <x:c r="H65" s="16"/>
      <x:c r="I65" s="16"/>
      <x:c r="J65" s="16"/>
      <x:c r="K65" s="16"/>
      <x:c r="L65" s="16"/>
      <x:c r="M65" s="16"/>
      <x:c r="N65" s="16"/>
      <x:c r="O65" s="16"/>
      <x:c r="P65" s="16"/>
      <x:c r="Q65" s="16"/>
      <x:c r="R65" s="16"/>
      <x:c r="S65" s="16"/>
      <x:c r="T65" s="16"/>
      <x:c r="U65" s="16"/>
      <x:c r="V65" s="16"/>
      <x:c r="W65" s="16"/>
      <x:c r="X65" s="16"/>
      <x:c r="Y65" s="16"/>
    </x:row>
    <x:row r="66">
      <x:c r="A66" s="16"/>
      <x:c r="B66" s="16"/>
      <x:c r="C66" s="16"/>
      <x:c r="D66" s="16"/>
      <x:c r="E66" s="16"/>
      <x:c r="F66" s="16"/>
      <x:c r="G66" s="16"/>
      <x:c r="H66" s="16"/>
      <x:c r="I66" s="16"/>
      <x:c r="J66" s="16"/>
      <x:c r="K66" s="16"/>
      <x:c r="L66" s="16"/>
      <x:c r="M66" s="16"/>
      <x:c r="N66" s="16"/>
      <x:c r="O66" s="16"/>
      <x:c r="P66" s="16"/>
      <x:c r="Q66" s="16"/>
      <x:c r="R66" s="16"/>
      <x:c r="S66" s="16"/>
      <x:c r="T66" s="16"/>
      <x:c r="U66" s="16"/>
      <x:c r="V66" s="16"/>
      <x:c r="W66" s="16"/>
      <x:c r="X66" s="16"/>
      <x:c r="Y66" s="16"/>
    </x:row>
    <x:row r="67">
      <x:c r="A67" s="16"/>
      <x:c r="B67" s="16"/>
      <x:c r="C67" s="16"/>
      <x:c r="D67" s="16"/>
      <x:c r="E67" s="16"/>
      <x:c r="F67" s="16"/>
      <x:c r="G67" s="16"/>
      <x:c r="H67" s="16"/>
      <x:c r="I67" s="16"/>
      <x:c r="J67" s="16"/>
      <x:c r="K67" s="16"/>
      <x:c r="L67" s="16"/>
      <x:c r="M67" s="16"/>
      <x:c r="N67" s="16"/>
      <x:c r="O67" s="16"/>
      <x:c r="P67" s="16"/>
      <x:c r="Q67" s="16"/>
      <x:c r="R67" s="16"/>
      <x:c r="S67" s="16"/>
      <x:c r="T67" s="16"/>
      <x:c r="U67" s="16"/>
      <x:c r="V67" s="16"/>
      <x:c r="W67" s="16"/>
      <x:c r="X67" s="16"/>
      <x:c r="Y67" s="16"/>
    </x:row>
    <x:row r="68">
      <x:c r="A68" s="16"/>
      <x:c r="B68" s="16"/>
      <x:c r="C68" s="16"/>
      <x:c r="D68" s="16"/>
      <x:c r="E68" s="16"/>
      <x:c r="F68" s="16"/>
      <x:c r="G68" s="16"/>
      <x:c r="H68" s="16"/>
      <x:c r="I68" s="16"/>
      <x:c r="J68" s="16"/>
      <x:c r="K68" s="16"/>
      <x:c r="L68" s="16"/>
      <x:c r="M68" s="16"/>
      <x:c r="N68" s="16"/>
      <x:c r="O68" s="16"/>
      <x:c r="P68" s="16"/>
      <x:c r="Q68" s="16"/>
      <x:c r="R68" s="16"/>
      <x:c r="S68" s="16"/>
      <x:c r="T68" s="16"/>
      <x:c r="U68" s="16"/>
      <x:c r="V68" s="16"/>
      <x:c r="W68" s="16"/>
      <x:c r="X68" s="16"/>
      <x:c r="Y68" s="16"/>
    </x:row>
    <x:row r="69">
      <x:c r="A69" s="16"/>
      <x:c r="B69" s="16"/>
      <x:c r="C69" s="16"/>
      <x:c r="D69" s="16"/>
      <x:c r="E69" s="16"/>
      <x:c r="F69" s="16"/>
      <x:c r="G69" s="16"/>
      <x:c r="H69" s="16"/>
      <x:c r="I69" s="16"/>
      <x:c r="J69" s="16"/>
      <x:c r="K69" s="16"/>
      <x:c r="L69" s="16"/>
      <x:c r="M69" s="16"/>
      <x:c r="N69" s="16"/>
      <x:c r="O69" s="16"/>
      <x:c r="P69" s="16"/>
      <x:c r="Q69" s="16"/>
      <x:c r="R69" s="16"/>
      <x:c r="S69" s="16"/>
      <x:c r="T69" s="16"/>
      <x:c r="U69" s="16"/>
      <x:c r="V69" s="16"/>
      <x:c r="W69" s="16"/>
      <x:c r="X69" s="16"/>
      <x:c r="Y69" s="16"/>
    </x:row>
    <x:row r="70">
      <x:c r="A70" s="16"/>
      <x:c r="B70" s="16"/>
      <x:c r="C70" s="16"/>
      <x:c r="D70" s="16"/>
      <x:c r="E70" s="16"/>
      <x:c r="F70" s="16"/>
      <x:c r="G70" s="16"/>
      <x:c r="H70" s="16"/>
      <x:c r="I70" s="16"/>
      <x:c r="J70" s="16"/>
      <x:c r="K70" s="16"/>
      <x:c r="L70" s="16"/>
      <x:c r="M70" s="16"/>
      <x:c r="N70" s="16"/>
      <x:c r="O70" s="16"/>
      <x:c r="P70" s="16"/>
      <x:c r="Q70" s="16"/>
      <x:c r="R70" s="16"/>
      <x:c r="S70" s="16"/>
      <x:c r="T70" s="16"/>
      <x:c r="U70" s="16"/>
      <x:c r="V70" s="16"/>
      <x:c r="W70" s="16"/>
      <x:c r="X70" s="16"/>
      <x:c r="Y70" s="16"/>
    </x:row>
    <x:row r="71">
      <x:c r="A71" s="16"/>
      <x:c r="B71" s="16"/>
      <x:c r="C71" s="16"/>
      <x:c r="D71" s="16"/>
      <x:c r="E71" s="16"/>
      <x:c r="F71" s="16"/>
      <x:c r="G71" s="16"/>
      <x:c r="H71" s="16"/>
      <x:c r="I71" s="16"/>
      <x:c r="J71" s="16"/>
      <x:c r="K71" s="16"/>
      <x:c r="L71" s="16"/>
      <x:c r="M71" s="16"/>
      <x:c r="N71" s="16"/>
      <x:c r="O71" s="16"/>
      <x:c r="P71" s="16"/>
      <x:c r="Q71" s="16"/>
      <x:c r="R71" s="16"/>
      <x:c r="S71" s="16"/>
      <x:c r="T71" s="16"/>
      <x:c r="U71" s="16"/>
      <x:c r="V71" s="16"/>
      <x:c r="W71" s="16"/>
      <x:c r="X71" s="16"/>
      <x:c r="Y71" s="16"/>
    </x:row>
    <x:row r="72">
      <x:c r="A72" s="16"/>
      <x:c r="B72" s="16"/>
      <x:c r="C72" s="16"/>
      <x:c r="D72" s="16"/>
      <x:c r="E72" s="16"/>
      <x:c r="F72" s="16"/>
      <x:c r="G72" s="16"/>
      <x:c r="H72" s="16"/>
      <x:c r="I72" s="16"/>
      <x:c r="J72" s="16"/>
      <x:c r="K72" s="16"/>
      <x:c r="L72" s="16"/>
      <x:c r="M72" s="16"/>
      <x:c r="N72" s="16"/>
      <x:c r="O72" s="16"/>
      <x:c r="P72" s="16"/>
      <x:c r="Q72" s="16"/>
      <x:c r="R72" s="16"/>
      <x:c r="S72" s="16"/>
      <x:c r="T72" s="16"/>
      <x:c r="U72" s="16"/>
      <x:c r="V72" s="16"/>
      <x:c r="W72" s="16"/>
      <x:c r="X72" s="16"/>
      <x:c r="Y72" s="16"/>
    </x:row>
    <x:row r="73">
      <x:c r="A73" s="16"/>
      <x:c r="B73" s="16"/>
      <x:c r="C73" s="16"/>
      <x:c r="D73" s="16"/>
      <x:c r="E73" s="16"/>
      <x:c r="F73" s="16"/>
      <x:c r="G73" s="16"/>
      <x:c r="H73" s="16"/>
      <x:c r="I73" s="16"/>
      <x:c r="J73" s="16"/>
      <x:c r="K73" s="16"/>
      <x:c r="L73" s="16"/>
      <x:c r="M73" s="16"/>
      <x:c r="N73" s="16"/>
      <x:c r="O73" s="16"/>
      <x:c r="P73" s="16"/>
      <x:c r="Q73" s="16"/>
      <x:c r="R73" s="16"/>
      <x:c r="S73" s="16"/>
      <x:c r="T73" s="16"/>
      <x:c r="U73" s="16"/>
      <x:c r="V73" s="16"/>
      <x:c r="W73" s="16"/>
      <x:c r="X73" s="16"/>
      <x:c r="Y73" s="16"/>
    </x:row>
    <x:row r="74">
      <x:c r="A74" s="16"/>
      <x:c r="B74" s="16"/>
      <x:c r="C74" s="16"/>
      <x:c r="D74" s="16"/>
      <x:c r="E74" s="16"/>
      <x:c r="F74" s="16"/>
      <x:c r="G74" s="16"/>
      <x:c r="H74" s="16"/>
      <x:c r="I74" s="16"/>
      <x:c r="J74" s="16"/>
      <x:c r="K74" s="16"/>
      <x:c r="L74" s="16"/>
      <x:c r="M74" s="16"/>
      <x:c r="N74" s="16"/>
      <x:c r="O74" s="16"/>
      <x:c r="P74" s="16"/>
      <x:c r="Q74" s="16"/>
      <x:c r="R74" s="16"/>
      <x:c r="S74" s="16"/>
      <x:c r="T74" s="16"/>
      <x:c r="U74" s="16"/>
      <x:c r="V74" s="16"/>
      <x:c r="W74" s="16"/>
      <x:c r="X74" s="16"/>
      <x:c r="Y74" s="16"/>
    </x:row>
    <x:row r="75">
      <x:c r="A75" s="16"/>
      <x:c r="B75" s="16"/>
      <x:c r="C75" s="16"/>
      <x:c r="D75" s="16"/>
      <x:c r="E75" s="16"/>
      <x:c r="F75" s="16"/>
      <x:c r="G75" s="16"/>
      <x:c r="H75" s="16"/>
      <x:c r="I75" s="16"/>
      <x:c r="J75" s="16"/>
      <x:c r="K75" s="16"/>
      <x:c r="L75" s="16"/>
      <x:c r="M75" s="16"/>
      <x:c r="N75" s="16"/>
      <x:c r="O75" s="16"/>
      <x:c r="P75" s="16"/>
      <x:c r="Q75" s="16"/>
      <x:c r="R75" s="16"/>
      <x:c r="S75" s="16"/>
      <x:c r="T75" s="16"/>
      <x:c r="U75" s="16"/>
      <x:c r="V75" s="16"/>
      <x:c r="W75" s="16"/>
      <x:c r="X75" s="16"/>
      <x:c r="Y75" s="16"/>
    </x:row>
    <x:row r="76">
      <x:c r="A76" s="16"/>
      <x:c r="B76" s="16"/>
      <x:c r="C76" s="16"/>
      <x:c r="D76" s="16"/>
      <x:c r="E76" s="16"/>
      <x:c r="F76" s="16"/>
      <x:c r="G76" s="16"/>
      <x:c r="H76" s="16"/>
      <x:c r="I76" s="16"/>
      <x:c r="J76" s="16"/>
      <x:c r="K76" s="16"/>
      <x:c r="L76" s="16"/>
      <x:c r="M76" s="16"/>
      <x:c r="N76" s="16"/>
      <x:c r="O76" s="16"/>
      <x:c r="P76" s="16"/>
      <x:c r="Q76" s="16"/>
      <x:c r="R76" s="16"/>
      <x:c r="S76" s="16"/>
      <x:c r="T76" s="16"/>
      <x:c r="U76" s="16"/>
      <x:c r="V76" s="16"/>
      <x:c r="W76" s="16"/>
      <x:c r="X76" s="16"/>
      <x:c r="Y76" s="16"/>
    </x:row>
    <x:row r="77">
      <x:c r="A77" s="16"/>
      <x:c r="B77" s="16"/>
      <x:c r="C77" s="16"/>
      <x:c r="D77" s="16"/>
      <x:c r="E77" s="16"/>
      <x:c r="F77" s="16"/>
      <x:c r="G77" s="16"/>
      <x:c r="H77" s="16"/>
      <x:c r="I77" s="16"/>
      <x:c r="J77" s="16"/>
      <x:c r="K77" s="16"/>
      <x:c r="L77" s="16"/>
      <x:c r="M77" s="16"/>
      <x:c r="N77" s="16"/>
      <x:c r="O77" s="16"/>
      <x:c r="P77" s="16"/>
      <x:c r="Q77" s="16"/>
      <x:c r="R77" s="16"/>
      <x:c r="S77" s="16"/>
      <x:c r="T77" s="16"/>
      <x:c r="U77" s="16"/>
      <x:c r="V77" s="16"/>
      <x:c r="W77" s="16"/>
      <x:c r="X77" s="16"/>
      <x:c r="Y77" s="16"/>
    </x:row>
    <x:row r="78">
      <x:c r="A78" s="16"/>
      <x:c r="B78" s="16"/>
      <x:c r="C78" s="16"/>
      <x:c r="D78" s="16"/>
      <x:c r="E78" s="16"/>
      <x:c r="F78" s="16"/>
      <x:c r="G78" s="16"/>
      <x:c r="H78" s="16"/>
      <x:c r="I78" s="16"/>
      <x:c r="J78" s="16"/>
      <x:c r="K78" s="16"/>
      <x:c r="L78" s="16"/>
      <x:c r="M78" s="16"/>
      <x:c r="N78" s="16"/>
      <x:c r="O78" s="16"/>
      <x:c r="P78" s="16"/>
      <x:c r="Q78" s="16"/>
      <x:c r="R78" s="16"/>
      <x:c r="S78" s="16"/>
      <x:c r="T78" s="16"/>
      <x:c r="U78" s="16"/>
      <x:c r="V78" s="16"/>
      <x:c r="W78" s="16"/>
      <x:c r="X78" s="16"/>
      <x:c r="Y78" s="16"/>
    </x:row>
    <x:row r="79">
      <x:c r="A79" s="16"/>
      <x:c r="B79" s="16"/>
      <x:c r="C79" s="16"/>
      <x:c r="D79" s="16"/>
      <x:c r="E79" s="16"/>
      <x:c r="F79" s="16"/>
      <x:c r="G79" s="16"/>
      <x:c r="H79" s="16"/>
      <x:c r="I79" s="16"/>
      <x:c r="J79" s="16"/>
      <x:c r="K79" s="16"/>
      <x:c r="L79" s="16"/>
      <x:c r="M79" s="16"/>
      <x:c r="N79" s="16"/>
      <x:c r="O79" s="16"/>
      <x:c r="P79" s="16"/>
      <x:c r="Q79" s="16"/>
      <x:c r="R79" s="16"/>
      <x:c r="S79" s="16"/>
      <x:c r="T79" s="16"/>
      <x:c r="U79" s="16"/>
      <x:c r="V79" s="16"/>
      <x:c r="W79" s="16"/>
      <x:c r="X79" s="16"/>
      <x:c r="Y79" s="16"/>
    </x:row>
    <x:row r="80">
      <x:c r="A80" s="16"/>
      <x:c r="B80" s="16"/>
      <x:c r="C80" s="16"/>
      <x:c r="D80" s="16"/>
      <x:c r="E80" s="16"/>
      <x:c r="F80" s="16"/>
      <x:c r="G80" s="16"/>
      <x:c r="H80" s="16"/>
      <x:c r="I80" s="16"/>
      <x:c r="J80" s="16"/>
      <x:c r="K80" s="16"/>
      <x:c r="L80" s="16"/>
      <x:c r="M80" s="16"/>
      <x:c r="N80" s="16"/>
      <x:c r="O80" s="16"/>
      <x:c r="P80" s="16"/>
      <x:c r="Q80" s="16"/>
      <x:c r="R80" s="16"/>
      <x:c r="S80" s="16"/>
      <x:c r="T80" s="16"/>
      <x:c r="U80" s="16"/>
      <x:c r="V80" s="16"/>
      <x:c r="W80" s="16"/>
      <x:c r="X80" s="16"/>
      <x:c r="Y80" s="16"/>
    </x:row>
    <x:row r="81">
      <x:c r="A81" s="16"/>
      <x:c r="B81" s="16"/>
      <x:c r="C81" s="16"/>
      <x:c r="D81" s="16"/>
      <x:c r="E81" s="16"/>
      <x:c r="F81" s="16"/>
      <x:c r="G81" s="16"/>
      <x:c r="H81" s="16"/>
      <x:c r="I81" s="16"/>
      <x:c r="J81" s="16"/>
      <x:c r="K81" s="16"/>
      <x:c r="L81" s="16"/>
      <x:c r="M81" s="16"/>
      <x:c r="N81" s="16"/>
      <x:c r="O81" s="16"/>
      <x:c r="P81" s="16"/>
      <x:c r="Q81" s="16"/>
      <x:c r="R81" s="16"/>
      <x:c r="S81" s="16"/>
      <x:c r="T81" s="16"/>
      <x:c r="U81" s="16"/>
      <x:c r="V81" s="16"/>
      <x:c r="W81" s="16"/>
      <x:c r="X81" s="16"/>
      <x:c r="Y81" s="16"/>
    </x:row>
    <x:row r="82">
      <x:c r="A82" s="16"/>
      <x:c r="B82" s="16"/>
      <x:c r="C82" s="16"/>
      <x:c r="D82" s="16"/>
      <x:c r="E82" s="16"/>
      <x:c r="F82" s="16"/>
      <x:c r="G82" s="16"/>
      <x:c r="H82" s="16"/>
      <x:c r="I82" s="16"/>
      <x:c r="J82" s="16"/>
      <x:c r="K82" s="16"/>
      <x:c r="L82" s="16"/>
      <x:c r="M82" s="16"/>
      <x:c r="N82" s="16"/>
      <x:c r="O82" s="16"/>
      <x:c r="P82" s="16"/>
      <x:c r="Q82" s="16"/>
      <x:c r="R82" s="16"/>
      <x:c r="S82" s="16"/>
      <x:c r="T82" s="16"/>
      <x:c r="U82" s="16"/>
      <x:c r="V82" s="16"/>
      <x:c r="W82" s="16"/>
      <x:c r="X82" s="16"/>
      <x:c r="Y82" s="16"/>
    </x:row>
    <x:row r="83">
      <x:c r="A83" s="16"/>
      <x:c r="B83" s="16"/>
      <x:c r="C83" s="16"/>
      <x:c r="D83" s="16"/>
      <x:c r="E83" s="16"/>
      <x:c r="F83" s="16"/>
      <x:c r="G83" s="16"/>
      <x:c r="H83" s="16"/>
      <x:c r="I83" s="16"/>
      <x:c r="J83" s="16"/>
      <x:c r="K83" s="16"/>
      <x:c r="L83" s="16"/>
      <x:c r="M83" s="16"/>
      <x:c r="N83" s="16"/>
      <x:c r="O83" s="16"/>
      <x:c r="P83" s="16"/>
      <x:c r="Q83" s="16"/>
      <x:c r="R83" s="16"/>
      <x:c r="S83" s="16"/>
      <x:c r="T83" s="16"/>
      <x:c r="U83" s="16"/>
      <x:c r="V83" s="16"/>
      <x:c r="W83" s="16"/>
      <x:c r="X83" s="16"/>
      <x:c r="Y83" s="16"/>
    </x:row>
    <x:row r="84">
      <x:c r="A84" s="16"/>
      <x:c r="B84" s="16"/>
      <x:c r="C84" s="16"/>
      <x:c r="D84" s="16"/>
      <x:c r="E84" s="16"/>
      <x:c r="F84" s="16"/>
      <x:c r="G84" s="16"/>
      <x:c r="H84" s="16"/>
      <x:c r="I84" s="16"/>
      <x:c r="J84" s="16"/>
      <x:c r="K84" s="16"/>
      <x:c r="L84" s="16"/>
      <x:c r="M84" s="16"/>
      <x:c r="N84" s="16"/>
      <x:c r="O84" s="16"/>
      <x:c r="P84" s="16"/>
      <x:c r="Q84" s="16"/>
      <x:c r="R84" s="16"/>
      <x:c r="S84" s="16"/>
      <x:c r="T84" s="16"/>
      <x:c r="U84" s="16"/>
      <x:c r="V84" s="16"/>
      <x:c r="W84" s="16"/>
      <x:c r="X84" s="16"/>
      <x:c r="Y84" s="16"/>
    </x:row>
    <x:row r="85">
      <x:c r="A85" s="16"/>
      <x:c r="B85" s="16"/>
      <x:c r="C85" s="16"/>
      <x:c r="D85" s="16"/>
      <x:c r="E85" s="16"/>
      <x:c r="F85" s="16"/>
      <x:c r="G85" s="16"/>
      <x:c r="H85" s="16"/>
      <x:c r="I85" s="16"/>
      <x:c r="J85" s="16"/>
      <x:c r="K85" s="16"/>
      <x:c r="L85" s="16"/>
      <x:c r="M85" s="16"/>
      <x:c r="N85" s="16"/>
      <x:c r="O85" s="16"/>
      <x:c r="P85" s="16"/>
      <x:c r="Q85" s="16"/>
      <x:c r="R85" s="16"/>
      <x:c r="S85" s="16"/>
      <x:c r="T85" s="16"/>
      <x:c r="U85" s="16"/>
      <x:c r="V85" s="16"/>
      <x:c r="W85" s="16"/>
      <x:c r="X85" s="16"/>
      <x:c r="Y85" s="16"/>
    </x:row>
    <x:row r="86">
      <x:c r="A86" s="16"/>
      <x:c r="B86" s="16"/>
      <x:c r="C86" s="16"/>
      <x:c r="D86" s="16"/>
      <x:c r="E86" s="16"/>
      <x:c r="F86" s="16"/>
      <x:c r="G86" s="16"/>
      <x:c r="H86" s="16"/>
      <x:c r="I86" s="16"/>
      <x:c r="J86" s="16"/>
      <x:c r="K86" s="16"/>
      <x:c r="L86" s="16"/>
      <x:c r="M86" s="16"/>
      <x:c r="N86" s="16"/>
      <x:c r="O86" s="16"/>
      <x:c r="P86" s="16"/>
      <x:c r="Q86" s="16"/>
      <x:c r="R86" s="16"/>
      <x:c r="S86" s="16"/>
      <x:c r="T86" s="16"/>
      <x:c r="U86" s="16"/>
      <x:c r="V86" s="16"/>
      <x:c r="W86" s="16"/>
      <x:c r="X86" s="16"/>
      <x:c r="Y86" s="16"/>
    </x:row>
    <x:row r="87">
      <x:c r="A87" s="16"/>
      <x:c r="B87" s="16"/>
      <x:c r="C87" s="16"/>
      <x:c r="D87" s="16"/>
      <x:c r="E87" s="16"/>
      <x:c r="F87" s="16"/>
      <x:c r="G87" s="16"/>
      <x:c r="H87" s="16"/>
      <x:c r="I87" s="16"/>
      <x:c r="J87" s="16"/>
      <x:c r="K87" s="16"/>
      <x:c r="L87" s="16"/>
      <x:c r="M87" s="16"/>
      <x:c r="N87" s="16"/>
      <x:c r="O87" s="16"/>
      <x:c r="P87" s="16"/>
      <x:c r="Q87" s="16"/>
      <x:c r="R87" s="16"/>
      <x:c r="S87" s="16"/>
      <x:c r="T87" s="16"/>
      <x:c r="U87" s="16"/>
      <x:c r="V87" s="16"/>
      <x:c r="W87" s="16"/>
      <x:c r="X87" s="16"/>
      <x:c r="Y87" s="16"/>
    </x:row>
    <x:row r="88">
      <x:c r="A88" s="16"/>
      <x:c r="B88" s="16"/>
      <x:c r="C88" s="16"/>
      <x:c r="D88" s="16"/>
      <x:c r="E88" s="16"/>
      <x:c r="F88" s="16"/>
      <x:c r="G88" s="16"/>
      <x:c r="H88" s="16"/>
      <x:c r="I88" s="16"/>
      <x:c r="J88" s="16"/>
      <x:c r="K88" s="16"/>
      <x:c r="L88" s="16"/>
      <x:c r="M88" s="16"/>
      <x:c r="N88" s="16"/>
      <x:c r="O88" s="16"/>
      <x:c r="P88" s="16"/>
      <x:c r="Q88" s="16"/>
      <x:c r="R88" s="16"/>
      <x:c r="S88" s="16"/>
      <x:c r="T88" s="16"/>
      <x:c r="U88" s="16"/>
      <x:c r="V88" s="16"/>
      <x:c r="W88" s="16"/>
      <x:c r="X88" s="16"/>
      <x:c r="Y88" s="16"/>
    </x:row>
    <x:row r="89">
      <x:c r="A89" s="16"/>
      <x:c r="B89" s="16"/>
      <x:c r="C89" s="16"/>
      <x:c r="D89" s="16"/>
      <x:c r="E89" s="16"/>
      <x:c r="F89" s="16"/>
      <x:c r="G89" s="16"/>
      <x:c r="H89" s="16"/>
      <x:c r="I89" s="16"/>
      <x:c r="J89" s="16"/>
      <x:c r="K89" s="16"/>
      <x:c r="L89" s="16"/>
      <x:c r="M89" s="16"/>
      <x:c r="N89" s="16"/>
      <x:c r="O89" s="16"/>
      <x:c r="P89" s="16"/>
      <x:c r="Q89" s="16"/>
      <x:c r="R89" s="16"/>
      <x:c r="S89" s="16"/>
      <x:c r="T89" s="16"/>
      <x:c r="U89" s="16"/>
      <x:c r="V89" s="16"/>
      <x:c r="W89" s="16"/>
      <x:c r="X89" s="16"/>
      <x:c r="Y89" s="16"/>
    </x:row>
    <x:row r="90">
      <x:c r="A90" s="16"/>
      <x:c r="B90" s="16"/>
      <x:c r="C90" s="16"/>
      <x:c r="D90" s="16"/>
      <x:c r="E90" s="16"/>
      <x:c r="F90" s="16"/>
      <x:c r="G90" s="16"/>
      <x:c r="H90" s="16"/>
      <x:c r="I90" s="16"/>
      <x:c r="J90" s="16"/>
      <x:c r="K90" s="16"/>
      <x:c r="L90" s="16"/>
      <x:c r="M90" s="16"/>
      <x:c r="N90" s="16"/>
      <x:c r="O90" s="16"/>
      <x:c r="P90" s="16"/>
      <x:c r="Q90" s="16"/>
      <x:c r="R90" s="16"/>
      <x:c r="S90" s="16"/>
      <x:c r="T90" s="16"/>
      <x:c r="U90" s="16"/>
      <x:c r="V90" s="16"/>
      <x:c r="W90" s="16"/>
      <x:c r="X90" s="16"/>
      <x:c r="Y90" s="16"/>
    </x:row>
    <x:row r="91">
      <x:c r="A91" s="16"/>
      <x:c r="B91" s="16"/>
      <x:c r="C91" s="16"/>
      <x:c r="D91" s="16"/>
      <x:c r="E91" s="16"/>
      <x:c r="F91" s="16"/>
      <x:c r="G91" s="16"/>
      <x:c r="H91" s="16"/>
      <x:c r="I91" s="16"/>
      <x:c r="J91" s="16"/>
      <x:c r="K91" s="16"/>
      <x:c r="L91" s="16"/>
      <x:c r="M91" s="16"/>
      <x:c r="N91" s="16"/>
      <x:c r="O91" s="16"/>
      <x:c r="P91" s="16"/>
      <x:c r="Q91" s="16"/>
      <x:c r="R91" s="16"/>
      <x:c r="S91" s="16"/>
      <x:c r="T91" s="16"/>
      <x:c r="U91" s="16"/>
      <x:c r="V91" s="16"/>
      <x:c r="W91" s="16"/>
      <x:c r="X91" s="16"/>
      <x:c r="Y91" s="16"/>
    </x:row>
    <x:row r="92">
      <x:c r="A92" s="16"/>
      <x:c r="B92" s="16"/>
      <x:c r="C92" s="16"/>
      <x:c r="D92" s="16"/>
      <x:c r="E92" s="16"/>
      <x:c r="F92" s="16"/>
      <x:c r="G92" s="16"/>
      <x:c r="H92" s="16"/>
      <x:c r="I92" s="16"/>
      <x:c r="J92" s="16"/>
      <x:c r="K92" s="16"/>
      <x:c r="L92" s="16"/>
      <x:c r="M92" s="16"/>
      <x:c r="N92" s="16"/>
      <x:c r="O92" s="16"/>
      <x:c r="P92" s="16"/>
      <x:c r="Q92" s="16"/>
      <x:c r="R92" s="16"/>
      <x:c r="S92" s="16"/>
      <x:c r="T92" s="16"/>
      <x:c r="U92" s="16"/>
      <x:c r="V92" s="16"/>
      <x:c r="W92" s="16"/>
      <x:c r="X92" s="16"/>
      <x:c r="Y92" s="16"/>
    </x:row>
    <x:row r="93">
      <x:c r="A93" s="16"/>
      <x:c r="B93" s="16"/>
      <x:c r="C93" s="16"/>
      <x:c r="D93" s="16"/>
      <x:c r="E93" s="16"/>
      <x:c r="F93" s="16"/>
      <x:c r="G93" s="16"/>
      <x:c r="H93" s="16"/>
      <x:c r="I93" s="16"/>
      <x:c r="J93" s="16"/>
      <x:c r="K93" s="16"/>
      <x:c r="L93" s="16"/>
      <x:c r="M93" s="16"/>
      <x:c r="N93" s="16"/>
      <x:c r="O93" s="16"/>
      <x:c r="P93" s="16"/>
      <x:c r="Q93" s="16"/>
      <x:c r="R93" s="16"/>
      <x:c r="S93" s="16"/>
      <x:c r="T93" s="16"/>
      <x:c r="U93" s="16"/>
      <x:c r="V93" s="16"/>
      <x:c r="W93" s="16"/>
      <x:c r="X93" s="16"/>
      <x:c r="Y93" s="16"/>
    </x:row>
    <x:row r="94">
      <x:c r="A94" s="16"/>
      <x:c r="B94" s="16"/>
      <x:c r="C94" s="16"/>
      <x:c r="D94" s="16"/>
      <x:c r="E94" s="16"/>
      <x:c r="F94" s="16"/>
      <x:c r="G94" s="16"/>
      <x:c r="H94" s="16"/>
      <x:c r="I94" s="16"/>
      <x:c r="J94" s="16"/>
      <x:c r="K94" s="16"/>
      <x:c r="L94" s="16"/>
      <x:c r="M94" s="16"/>
      <x:c r="N94" s="16"/>
      <x:c r="O94" s="16"/>
      <x:c r="P94" s="16"/>
      <x:c r="Q94" s="16"/>
      <x:c r="R94" s="16"/>
      <x:c r="S94" s="16"/>
      <x:c r="T94" s="16"/>
      <x:c r="U94" s="16"/>
      <x:c r="V94" s="16"/>
      <x:c r="W94" s="16"/>
      <x:c r="X94" s="16"/>
      <x:c r="Y94" s="16"/>
    </x:row>
    <x:row r="95">
      <x:c r="A95" s="16"/>
      <x:c r="B95" s="16"/>
      <x:c r="C95" s="16"/>
      <x:c r="D95" s="16"/>
      <x:c r="E95" s="16"/>
      <x:c r="F95" s="16"/>
      <x:c r="G95" s="16"/>
      <x:c r="H95" s="16"/>
      <x:c r="I95" s="16"/>
      <x:c r="J95" s="16"/>
      <x:c r="K95" s="16"/>
      <x:c r="L95" s="16"/>
      <x:c r="M95" s="16"/>
      <x:c r="N95" s="16"/>
      <x:c r="O95" s="16"/>
      <x:c r="P95" s="16"/>
      <x:c r="Q95" s="16"/>
      <x:c r="R95" s="16"/>
      <x:c r="S95" s="16"/>
      <x:c r="T95" s="16"/>
      <x:c r="U95" s="16"/>
      <x:c r="V95" s="16"/>
      <x:c r="W95" s="16"/>
      <x:c r="X95" s="16"/>
      <x:c r="Y95" s="16"/>
    </x:row>
    <x:row r="96">
      <x:c r="A96" s="16"/>
      <x:c r="B96" s="16"/>
      <x:c r="C96" s="16"/>
      <x:c r="D96" s="16"/>
      <x:c r="E96" s="16"/>
      <x:c r="F96" s="16"/>
      <x:c r="G96" s="16"/>
      <x:c r="H96" s="16"/>
      <x:c r="I96" s="16"/>
      <x:c r="J96" s="16"/>
      <x:c r="K96" s="16"/>
      <x:c r="L96" s="16"/>
      <x:c r="M96" s="16"/>
      <x:c r="N96" s="16"/>
      <x:c r="O96" s="16"/>
      <x:c r="P96" s="16"/>
      <x:c r="Q96" s="16"/>
      <x:c r="R96" s="16"/>
      <x:c r="S96" s="16"/>
      <x:c r="T96" s="16"/>
      <x:c r="U96" s="16"/>
      <x:c r="V96" s="16"/>
      <x:c r="W96" s="16"/>
      <x:c r="X96" s="16"/>
      <x:c r="Y96" s="16"/>
    </x:row>
    <x:row r="97">
      <x:c r="A97" s="16"/>
      <x:c r="B97" s="16"/>
      <x:c r="C97" s="16"/>
      <x:c r="D97" s="16"/>
      <x:c r="E97" s="16"/>
      <x:c r="F97" s="16"/>
      <x:c r="G97" s="16"/>
      <x:c r="H97" s="16"/>
      <x:c r="I97" s="16"/>
      <x:c r="J97" s="16"/>
      <x:c r="K97" s="16"/>
      <x:c r="L97" s="16"/>
      <x:c r="M97" s="16"/>
      <x:c r="N97" s="16"/>
      <x:c r="O97" s="16"/>
      <x:c r="P97" s="16"/>
      <x:c r="Q97" s="16"/>
      <x:c r="R97" s="16"/>
      <x:c r="S97" s="16"/>
      <x:c r="T97" s="16"/>
      <x:c r="U97" s="16"/>
      <x:c r="V97" s="16"/>
      <x:c r="W97" s="16"/>
      <x:c r="X97" s="16"/>
      <x:c r="Y97" s="16"/>
    </x:row>
    <x:row r="98">
      <x:c r="A98" s="16"/>
      <x:c r="B98" s="16"/>
      <x:c r="C98" s="16"/>
      <x:c r="D98" s="16"/>
      <x:c r="E98" s="16"/>
      <x:c r="F98" s="16"/>
      <x:c r="G98" s="16"/>
      <x:c r="H98" s="16"/>
      <x:c r="I98" s="16"/>
      <x:c r="J98" s="16"/>
      <x:c r="K98" s="16"/>
      <x:c r="L98" s="16"/>
      <x:c r="M98" s="16"/>
      <x:c r="N98" s="16"/>
      <x:c r="O98" s="16"/>
      <x:c r="P98" s="16"/>
      <x:c r="Q98" s="16"/>
      <x:c r="R98" s="16"/>
      <x:c r="S98" s="16"/>
      <x:c r="T98" s="16"/>
      <x:c r="U98" s="16"/>
      <x:c r="V98" s="16"/>
      <x:c r="W98" s="16"/>
      <x:c r="X98" s="16"/>
      <x:c r="Y98" s="16"/>
    </x:row>
    <x:row r="99">
      <x:c r="A99" s="16"/>
      <x:c r="B99" s="16"/>
      <x:c r="C99" s="16"/>
      <x:c r="D99" s="16"/>
      <x:c r="E99" s="16"/>
      <x:c r="F99" s="16"/>
      <x:c r="G99" s="16"/>
      <x:c r="H99" s="16"/>
      <x:c r="I99" s="16"/>
      <x:c r="J99" s="16"/>
      <x:c r="K99" s="16"/>
      <x:c r="L99" s="16"/>
      <x:c r="M99" s="16"/>
      <x:c r="N99" s="16"/>
      <x:c r="O99" s="16"/>
      <x:c r="P99" s="16"/>
      <x:c r="Q99" s="16"/>
      <x:c r="R99" s="16"/>
      <x:c r="S99" s="16"/>
      <x:c r="T99" s="16"/>
      <x:c r="U99" s="16"/>
      <x:c r="V99" s="16"/>
      <x:c r="W99" s="16"/>
      <x:c r="X99" s="16"/>
      <x:c r="Y99" s="16"/>
    </x:row>
    <x:row r="100">
      <x:c r="A100" s="16"/>
      <x:c r="B100" s="16"/>
      <x:c r="C100" s="16"/>
      <x:c r="D100" s="16"/>
      <x:c r="E100" s="16"/>
      <x:c r="F100" s="16"/>
      <x:c r="G100" s="16"/>
      <x:c r="H100" s="16"/>
      <x:c r="I100" s="16"/>
      <x:c r="J100" s="16"/>
      <x:c r="K100" s="16"/>
      <x:c r="L100" s="16"/>
      <x:c r="M100" s="16"/>
      <x:c r="N100" s="16"/>
      <x:c r="O100" s="16"/>
      <x:c r="P100" s="16"/>
      <x:c r="Q100" s="16"/>
      <x:c r="R100" s="16"/>
      <x:c r="S100" s="16"/>
      <x:c r="T100" s="16"/>
      <x:c r="U100" s="16"/>
      <x:c r="V100" s="16"/>
      <x:c r="W100" s="16"/>
      <x:c r="X100" s="16"/>
      <x:c r="Y100" s="16"/>
    </x:row>
    <x:row r="101">
      <x:c r="A101" s="16"/>
      <x:c r="B101" s="16"/>
      <x:c r="C101" s="16"/>
      <x:c r="D101" s="16"/>
      <x:c r="E101" s="16"/>
      <x:c r="F101" s="16"/>
      <x:c r="G101" s="16"/>
      <x:c r="H101" s="16"/>
      <x:c r="I101" s="16"/>
      <x:c r="J101" s="16"/>
      <x:c r="K101" s="16"/>
      <x:c r="L101" s="16"/>
      <x:c r="M101" s="16"/>
      <x:c r="N101" s="16"/>
      <x:c r="O101" s="16"/>
      <x:c r="P101" s="16"/>
      <x:c r="Q101" s="16"/>
      <x:c r="R101" s="16"/>
      <x:c r="S101" s="16"/>
      <x:c r="T101" s="16"/>
      <x:c r="U101" s="16"/>
      <x:c r="V101" s="16"/>
      <x:c r="W101" s="16"/>
      <x:c r="X101" s="16"/>
      <x:c r="Y101" s="16"/>
    </x:row>
    <x:row r="102">
      <x:c r="A102" s="16"/>
      <x:c r="B102" s="16"/>
      <x:c r="C102" s="16"/>
      <x:c r="D102" s="16"/>
      <x:c r="E102" s="16"/>
      <x:c r="F102" s="16"/>
      <x:c r="G102" s="16"/>
      <x:c r="H102" s="16"/>
      <x:c r="I102" s="16"/>
      <x:c r="J102" s="16"/>
      <x:c r="K102" s="16"/>
      <x:c r="L102" s="16"/>
      <x:c r="M102" s="16"/>
      <x:c r="N102" s="16"/>
      <x:c r="O102" s="16"/>
      <x:c r="P102" s="16"/>
      <x:c r="Q102" s="16"/>
      <x:c r="R102" s="16"/>
      <x:c r="S102" s="16"/>
      <x:c r="T102" s="16"/>
      <x:c r="U102" s="16"/>
      <x:c r="V102" s="16"/>
      <x:c r="W102" s="16"/>
      <x:c r="X102" s="16"/>
      <x:c r="Y102" s="16"/>
    </x:row>
    <x:row r="103">
      <x:c r="A103" s="16"/>
      <x:c r="B103" s="16"/>
      <x:c r="C103" s="16"/>
      <x:c r="D103" s="16"/>
      <x:c r="E103" s="16"/>
      <x:c r="F103" s="16"/>
      <x:c r="G103" s="16"/>
      <x:c r="H103" s="16"/>
      <x:c r="I103" s="16"/>
      <x:c r="J103" s="16"/>
      <x:c r="K103" s="16"/>
      <x:c r="L103" s="16"/>
      <x:c r="M103" s="16"/>
      <x:c r="N103" s="16"/>
      <x:c r="O103" s="16"/>
      <x:c r="P103" s="16"/>
      <x:c r="Q103" s="16"/>
      <x:c r="R103" s="16"/>
      <x:c r="S103" s="16"/>
      <x:c r="T103" s="16"/>
      <x:c r="U103" s="16"/>
      <x:c r="V103" s="16"/>
      <x:c r="W103" s="16"/>
      <x:c r="X103" s="16"/>
      <x:c r="Y103" s="16"/>
    </x:row>
    <x:row r="104">
      <x:c r="A104" s="16"/>
      <x:c r="B104" s="16"/>
      <x:c r="C104" s="16"/>
      <x:c r="D104" s="16"/>
      <x:c r="E104" s="16"/>
      <x:c r="F104" s="16"/>
      <x:c r="G104" s="16"/>
      <x:c r="H104" s="16"/>
      <x:c r="I104" s="16"/>
      <x:c r="J104" s="16"/>
      <x:c r="K104" s="16"/>
      <x:c r="L104" s="16"/>
      <x:c r="M104" s="16"/>
      <x:c r="N104" s="16"/>
      <x:c r="O104" s="16"/>
      <x:c r="P104" s="16"/>
      <x:c r="Q104" s="16"/>
      <x:c r="R104" s="16"/>
      <x:c r="S104" s="16"/>
      <x:c r="T104" s="16"/>
      <x:c r="U104" s="16"/>
      <x:c r="V104" s="16"/>
      <x:c r="W104" s="16"/>
      <x:c r="X104" s="16"/>
      <x:c r="Y104" s="16"/>
    </x:row>
    <x:row r="105">
      <x:c r="A105" s="16"/>
      <x:c r="B105" s="16"/>
      <x:c r="C105" s="16"/>
      <x:c r="D105" s="16"/>
      <x:c r="E105" s="16"/>
      <x:c r="F105" s="16"/>
      <x:c r="G105" s="16"/>
      <x:c r="H105" s="16"/>
      <x:c r="I105" s="16"/>
      <x:c r="J105" s="16"/>
      <x:c r="K105" s="16"/>
      <x:c r="L105" s="16"/>
      <x:c r="M105" s="16"/>
      <x:c r="N105" s="16"/>
      <x:c r="O105" s="16"/>
      <x:c r="P105" s="16"/>
      <x:c r="Q105" s="16"/>
      <x:c r="R105" s="16"/>
      <x:c r="S105" s="16"/>
      <x:c r="T105" s="16"/>
      <x:c r="U105" s="16"/>
      <x:c r="V105" s="16"/>
      <x:c r="W105" s="16"/>
      <x:c r="X105" s="16"/>
      <x:c r="Y105" s="16"/>
    </x:row>
    <x:row r="106">
      <x:c r="A106" s="16"/>
      <x:c r="B106" s="16"/>
      <x:c r="C106" s="16"/>
      <x:c r="D106" s="16"/>
      <x:c r="E106" s="16"/>
      <x:c r="F106" s="16"/>
      <x:c r="G106" s="16"/>
      <x:c r="H106" s="16"/>
      <x:c r="I106" s="16"/>
      <x:c r="J106" s="16"/>
      <x:c r="K106" s="16"/>
      <x:c r="L106" s="16"/>
      <x:c r="M106" s="16"/>
      <x:c r="N106" s="16"/>
      <x:c r="O106" s="16"/>
      <x:c r="P106" s="16"/>
      <x:c r="Q106" s="16"/>
      <x:c r="R106" s="16"/>
      <x:c r="S106" s="16"/>
      <x:c r="T106" s="16"/>
      <x:c r="U106" s="16"/>
      <x:c r="V106" s="16"/>
      <x:c r="W106" s="16"/>
      <x:c r="X106" s="16"/>
      <x:c r="Y106" s="16"/>
    </x:row>
    <x:row r="107">
      <x:c r="A107" s="16"/>
      <x:c r="B107" s="16"/>
      <x:c r="C107" s="16"/>
      <x:c r="D107" s="16"/>
      <x:c r="E107" s="16"/>
      <x:c r="F107" s="16"/>
      <x:c r="G107" s="16"/>
      <x:c r="H107" s="16"/>
      <x:c r="I107" s="16"/>
      <x:c r="J107" s="16"/>
      <x:c r="K107" s="16"/>
      <x:c r="L107" s="16"/>
      <x:c r="M107" s="16"/>
      <x:c r="N107" s="16"/>
      <x:c r="O107" s="16"/>
      <x:c r="P107" s="16"/>
      <x:c r="Q107" s="16"/>
      <x:c r="R107" s="16"/>
      <x:c r="S107" s="16"/>
      <x:c r="T107" s="16"/>
      <x:c r="U107" s="16"/>
      <x:c r="V107" s="16"/>
      <x:c r="W107" s="16"/>
      <x:c r="X107" s="16"/>
      <x:c r="Y107" s="16"/>
    </x:row>
    <x:row r="108">
      <x:c r="A108" s="16"/>
      <x:c r="B108" s="16"/>
      <x:c r="C108" s="16"/>
      <x:c r="D108" s="16"/>
      <x:c r="E108" s="16"/>
      <x:c r="F108" s="16"/>
      <x:c r="G108" s="16"/>
      <x:c r="H108" s="16"/>
      <x:c r="I108" s="16"/>
      <x:c r="J108" s="16"/>
      <x:c r="K108" s="16"/>
      <x:c r="L108" s="16"/>
      <x:c r="M108" s="16"/>
      <x:c r="N108" s="16"/>
      <x:c r="O108" s="16"/>
      <x:c r="P108" s="16"/>
      <x:c r="Q108" s="16"/>
      <x:c r="R108" s="16"/>
      <x:c r="S108" s="16"/>
      <x:c r="T108" s="16"/>
      <x:c r="U108" s="16"/>
      <x:c r="V108" s="16"/>
      <x:c r="W108" s="16"/>
      <x:c r="X108" s="16"/>
      <x:c r="Y108" s="16"/>
    </x:row>
    <x:row r="109">
      <x:c r="A109" s="16"/>
      <x:c r="B109" s="16"/>
      <x:c r="C109" s="16"/>
      <x:c r="D109" s="16"/>
      <x:c r="E109" s="16"/>
      <x:c r="F109" s="16"/>
      <x:c r="G109" s="16"/>
      <x:c r="H109" s="16"/>
      <x:c r="I109" s="16"/>
      <x:c r="J109" s="16"/>
      <x:c r="K109" s="16"/>
      <x:c r="L109" s="16"/>
      <x:c r="M109" s="16"/>
      <x:c r="N109" s="16"/>
      <x:c r="O109" s="16"/>
      <x:c r="P109" s="16"/>
      <x:c r="Q109" s="16"/>
      <x:c r="R109" s="16"/>
      <x:c r="S109" s="16"/>
      <x:c r="T109" s="16"/>
      <x:c r="U109" s="16"/>
      <x:c r="V109" s="16"/>
      <x:c r="W109" s="16"/>
      <x:c r="X109" s="16"/>
      <x:c r="Y109" s="16"/>
    </x:row>
    <x:row r="110">
      <x:c r="A110" s="16"/>
      <x:c r="B110" s="16"/>
      <x:c r="C110" s="16"/>
      <x:c r="D110" s="16"/>
      <x:c r="E110" s="16"/>
      <x:c r="F110" s="16"/>
      <x:c r="G110" s="16"/>
      <x:c r="H110" s="16"/>
      <x:c r="I110" s="16"/>
      <x:c r="J110" s="16"/>
      <x:c r="K110" s="16"/>
      <x:c r="L110" s="16"/>
      <x:c r="M110" s="16"/>
      <x:c r="N110" s="16"/>
      <x:c r="O110" s="16"/>
      <x:c r="P110" s="16"/>
      <x:c r="Q110" s="16"/>
      <x:c r="R110" s="16"/>
      <x:c r="S110" s="16"/>
      <x:c r="T110" s="16"/>
      <x:c r="U110" s="16"/>
      <x:c r="V110" s="16"/>
      <x:c r="W110" s="16"/>
      <x:c r="X110" s="16"/>
      <x:c r="Y110" s="16"/>
    </x:row>
    <x:row r="111">
      <x:c r="A111" s="16"/>
      <x:c r="B111" s="16"/>
      <x:c r="C111" s="16"/>
      <x:c r="D111" s="16"/>
      <x:c r="E111" s="16"/>
      <x:c r="F111" s="16"/>
      <x:c r="G111" s="16"/>
      <x:c r="H111" s="16"/>
      <x:c r="I111" s="16"/>
      <x:c r="J111" s="16"/>
      <x:c r="K111" s="16"/>
      <x:c r="L111" s="16"/>
      <x:c r="M111" s="16"/>
      <x:c r="N111" s="16"/>
      <x:c r="O111" s="16"/>
      <x:c r="P111" s="16"/>
      <x:c r="Q111" s="16"/>
      <x:c r="R111" s="16"/>
      <x:c r="S111" s="16"/>
      <x:c r="T111" s="16"/>
      <x:c r="U111" s="16"/>
      <x:c r="V111" s="16"/>
      <x:c r="W111" s="16"/>
      <x:c r="X111" s="16"/>
      <x:c r="Y111" s="16"/>
    </x:row>
    <x:row r="112">
      <x:c r="A112" s="16"/>
      <x:c r="B112" s="16"/>
      <x:c r="C112" s="16"/>
      <x:c r="D112" s="16"/>
      <x:c r="E112" s="16"/>
      <x:c r="F112" s="16"/>
      <x:c r="G112" s="16"/>
      <x:c r="H112" s="16"/>
      <x:c r="I112" s="16"/>
      <x:c r="J112" s="16"/>
      <x:c r="K112" s="16"/>
      <x:c r="L112" s="16"/>
      <x:c r="M112" s="16"/>
      <x:c r="N112" s="16"/>
      <x:c r="O112" s="16"/>
      <x:c r="P112" s="16"/>
      <x:c r="Q112" s="16"/>
      <x:c r="R112" s="16"/>
      <x:c r="S112" s="16"/>
      <x:c r="T112" s="16"/>
      <x:c r="U112" s="16"/>
      <x:c r="V112" s="16"/>
      <x:c r="W112" s="16"/>
      <x:c r="X112" s="16"/>
      <x:c r="Y112" s="16"/>
    </x:row>
    <x:row r="113">
      <x:c r="A113" s="16"/>
      <x:c r="B113" s="16"/>
      <x:c r="C113" s="16"/>
      <x:c r="D113" s="16"/>
      <x:c r="E113" s="16"/>
      <x:c r="F113" s="16"/>
      <x:c r="G113" s="16"/>
      <x:c r="H113" s="16"/>
      <x:c r="I113" s="16"/>
      <x:c r="J113" s="16"/>
      <x:c r="K113" s="16"/>
      <x:c r="L113" s="16"/>
      <x:c r="M113" s="16"/>
      <x:c r="N113" s="16"/>
      <x:c r="O113" s="16"/>
      <x:c r="P113" s="16"/>
      <x:c r="Q113" s="16"/>
      <x:c r="R113" s="16"/>
      <x:c r="S113" s="16"/>
      <x:c r="T113" s="16"/>
      <x:c r="U113" s="16"/>
      <x:c r="V113" s="16"/>
      <x:c r="W113" s="16"/>
      <x:c r="X113" s="16"/>
      <x:c r="Y113" s="16"/>
    </x:row>
    <x:row r="114">
      <x:c r="A114" s="16"/>
      <x:c r="B114" s="16"/>
      <x:c r="C114" s="16"/>
      <x:c r="D114" s="16"/>
      <x:c r="E114" s="16"/>
      <x:c r="F114" s="16"/>
      <x:c r="G114" s="16"/>
      <x:c r="H114" s="16"/>
      <x:c r="I114" s="16"/>
      <x:c r="J114" s="16"/>
      <x:c r="K114" s="16"/>
      <x:c r="L114" s="16"/>
      <x:c r="M114" s="16"/>
      <x:c r="N114" s="16"/>
      <x:c r="O114" s="16"/>
      <x:c r="P114" s="16"/>
      <x:c r="Q114" s="16"/>
      <x:c r="R114" s="16"/>
      <x:c r="S114" s="16"/>
      <x:c r="T114" s="16"/>
      <x:c r="U114" s="16"/>
      <x:c r="V114" s="16"/>
      <x:c r="W114" s="16"/>
      <x:c r="X114" s="16"/>
      <x:c r="Y114" s="16"/>
    </x:row>
    <x:row r="115">
      <x:c r="A115" s="16"/>
      <x:c r="B115" s="16"/>
      <x:c r="C115" s="16"/>
      <x:c r="D115" s="16"/>
      <x:c r="E115" s="16"/>
      <x:c r="F115" s="16"/>
      <x:c r="G115" s="16"/>
      <x:c r="H115" s="16"/>
      <x:c r="I115" s="16"/>
      <x:c r="J115" s="16"/>
      <x:c r="K115" s="16"/>
      <x:c r="L115" s="16"/>
      <x:c r="M115" s="16"/>
      <x:c r="N115" s="16"/>
      <x:c r="O115" s="16"/>
      <x:c r="P115" s="16"/>
      <x:c r="Q115" s="16"/>
      <x:c r="R115" s="16"/>
      <x:c r="S115" s="16"/>
      <x:c r="T115" s="16"/>
      <x:c r="U115" s="16"/>
      <x:c r="V115" s="16"/>
      <x:c r="W115" s="16"/>
      <x:c r="X115" s="16"/>
      <x:c r="Y115" s="16"/>
    </x:row>
    <x:row r="116">
      <x:c r="A116" s="16"/>
      <x:c r="B116" s="16"/>
      <x:c r="C116" s="16"/>
      <x:c r="D116" s="16"/>
      <x:c r="E116" s="16"/>
      <x:c r="F116" s="16"/>
      <x:c r="G116" s="16"/>
      <x:c r="H116" s="16"/>
      <x:c r="I116" s="16"/>
      <x:c r="J116" s="16"/>
      <x:c r="K116" s="16"/>
      <x:c r="L116" s="16"/>
      <x:c r="M116" s="16"/>
      <x:c r="N116" s="16"/>
      <x:c r="O116" s="16"/>
      <x:c r="P116" s="16"/>
      <x:c r="Q116" s="16"/>
      <x:c r="R116" s="16"/>
      <x:c r="S116" s="16"/>
      <x:c r="T116" s="16"/>
      <x:c r="U116" s="16"/>
      <x:c r="V116" s="16"/>
      <x:c r="W116" s="16"/>
      <x:c r="X116" s="16"/>
      <x:c r="Y116" s="16"/>
    </x:row>
    <x:row r="117">
      <x:c r="A117" s="16"/>
      <x:c r="B117" s="16"/>
      <x:c r="C117" s="16"/>
      <x:c r="D117" s="16"/>
      <x:c r="E117" s="16"/>
      <x:c r="F117" s="16"/>
      <x:c r="G117" s="16"/>
      <x:c r="H117" s="16"/>
      <x:c r="I117" s="16"/>
      <x:c r="J117" s="16"/>
      <x:c r="K117" s="16"/>
      <x:c r="L117" s="16"/>
      <x:c r="M117" s="16"/>
      <x:c r="N117" s="16"/>
      <x:c r="O117" s="16"/>
      <x:c r="P117" s="16"/>
      <x:c r="Q117" s="16"/>
      <x:c r="R117" s="16"/>
      <x:c r="S117" s="16"/>
      <x:c r="T117" s="16"/>
      <x:c r="U117" s="16"/>
      <x:c r="V117" s="16"/>
      <x:c r="W117" s="16"/>
      <x:c r="X117" s="16"/>
      <x:c r="Y117" s="16"/>
    </x:row>
    <x:row r="118">
      <x:c r="A118" s="16"/>
      <x:c r="B118" s="16"/>
      <x:c r="C118" s="16"/>
      <x:c r="D118" s="16"/>
      <x:c r="E118" s="16"/>
      <x:c r="F118" s="16"/>
      <x:c r="G118" s="16"/>
      <x:c r="H118" s="16"/>
      <x:c r="I118" s="16"/>
      <x:c r="J118" s="16"/>
      <x:c r="K118" s="16"/>
      <x:c r="L118" s="16"/>
      <x:c r="M118" s="16"/>
      <x:c r="N118" s="16"/>
      <x:c r="O118" s="16"/>
      <x:c r="P118" s="16"/>
      <x:c r="Q118" s="16"/>
      <x:c r="R118" s="16"/>
      <x:c r="S118" s="16"/>
      <x:c r="T118" s="16"/>
      <x:c r="U118" s="16"/>
      <x:c r="V118" s="16"/>
      <x:c r="W118" s="16"/>
      <x:c r="X118" s="16"/>
      <x:c r="Y118" s="16"/>
    </x:row>
    <x:row r="119">
      <x:c r="A119" s="16"/>
      <x:c r="B119" s="16"/>
      <x:c r="C119" s="16"/>
      <x:c r="D119" s="16"/>
      <x:c r="E119" s="16"/>
      <x:c r="F119" s="16"/>
      <x:c r="G119" s="16"/>
      <x:c r="H119" s="16"/>
      <x:c r="I119" s="16"/>
      <x:c r="J119" s="16"/>
      <x:c r="K119" s="16"/>
      <x:c r="L119" s="16"/>
      <x:c r="M119" s="16"/>
      <x:c r="N119" s="16"/>
      <x:c r="O119" s="16"/>
      <x:c r="P119" s="16"/>
      <x:c r="Q119" s="16"/>
      <x:c r="R119" s="16"/>
      <x:c r="S119" s="16"/>
      <x:c r="T119" s="16"/>
      <x:c r="U119" s="16"/>
      <x:c r="V119" s="16"/>
      <x:c r="W119" s="16"/>
      <x:c r="X119" s="16"/>
      <x:c r="Y119" s="16"/>
    </x:row>
    <x:row r="120">
      <x:c r="A120" s="16"/>
      <x:c r="B120" s="16"/>
      <x:c r="C120" s="16"/>
      <x:c r="D120" s="16"/>
      <x:c r="E120" s="16"/>
      <x:c r="F120" s="16"/>
      <x:c r="G120" s="16"/>
      <x:c r="H120" s="16"/>
      <x:c r="I120" s="16"/>
      <x:c r="J120" s="16"/>
      <x:c r="K120" s="16"/>
      <x:c r="L120" s="16"/>
      <x:c r="M120" s="16"/>
      <x:c r="N120" s="16"/>
      <x:c r="O120" s="16"/>
      <x:c r="P120" s="16"/>
      <x:c r="Q120" s="16"/>
      <x:c r="R120" s="16"/>
      <x:c r="S120" s="16"/>
      <x:c r="T120" s="16"/>
      <x:c r="U120" s="16"/>
      <x:c r="V120" s="16"/>
      <x:c r="W120" s="16"/>
      <x:c r="X120" s="16"/>
      <x:c r="Y120" s="16"/>
    </x:row>
    <x:row r="121">
      <x:c r="A121" s="16"/>
      <x:c r="B121" s="16"/>
      <x:c r="C121" s="16"/>
      <x:c r="D121" s="16"/>
      <x:c r="E121" s="16"/>
      <x:c r="F121" s="16"/>
      <x:c r="G121" s="16"/>
      <x:c r="H121" s="16"/>
      <x:c r="I121" s="16"/>
      <x:c r="J121" s="16"/>
      <x:c r="K121" s="16"/>
      <x:c r="L121" s="16"/>
      <x:c r="M121" s="16"/>
      <x:c r="N121" s="16"/>
      <x:c r="O121" s="16"/>
      <x:c r="P121" s="16"/>
      <x:c r="Q121" s="16"/>
      <x:c r="R121" s="16"/>
      <x:c r="S121" s="16"/>
      <x:c r="T121" s="16"/>
      <x:c r="U121" s="16"/>
      <x:c r="V121" s="16"/>
      <x:c r="W121" s="16"/>
      <x:c r="X121" s="16"/>
      <x:c r="Y121" s="16"/>
    </x:row>
    <x:row r="122">
      <x:c r="A122" s="16"/>
      <x:c r="B122" s="16"/>
      <x:c r="C122" s="16"/>
      <x:c r="D122" s="16"/>
      <x:c r="E122" s="16"/>
      <x:c r="F122" s="16"/>
      <x:c r="G122" s="16"/>
      <x:c r="H122" s="16"/>
      <x:c r="I122" s="16"/>
      <x:c r="J122" s="16"/>
      <x:c r="K122" s="16"/>
      <x:c r="L122" s="16"/>
      <x:c r="M122" s="16"/>
      <x:c r="N122" s="16"/>
      <x:c r="O122" s="16"/>
      <x:c r="P122" s="16"/>
      <x:c r="Q122" s="16"/>
      <x:c r="R122" s="16"/>
      <x:c r="S122" s="16"/>
      <x:c r="T122" s="16"/>
      <x:c r="U122" s="16"/>
      <x:c r="V122" s="16"/>
      <x:c r="W122" s="16"/>
      <x:c r="X122" s="16"/>
      <x:c r="Y122" s="16"/>
    </x:row>
    <x:row r="123">
      <x:c r="A123" s="16"/>
      <x:c r="B123" s="16"/>
      <x:c r="C123" s="16"/>
      <x:c r="D123" s="16"/>
      <x:c r="E123" s="16"/>
      <x:c r="F123" s="16"/>
      <x:c r="G123" s="16"/>
      <x:c r="H123" s="16"/>
      <x:c r="I123" s="16"/>
      <x:c r="J123" s="16"/>
      <x:c r="K123" s="16"/>
      <x:c r="L123" s="16"/>
      <x:c r="M123" s="16"/>
      <x:c r="N123" s="16"/>
      <x:c r="O123" s="16"/>
      <x:c r="P123" s="16"/>
      <x:c r="Q123" s="16"/>
      <x:c r="R123" s="16"/>
      <x:c r="S123" s="16"/>
      <x:c r="T123" s="16"/>
      <x:c r="U123" s="16"/>
      <x:c r="V123" s="16"/>
      <x:c r="W123" s="16"/>
      <x:c r="X123" s="16"/>
      <x:c r="Y123" s="16"/>
    </x:row>
    <x:row r="124">
      <x:c r="A124" s="16"/>
      <x:c r="B124" s="16"/>
      <x:c r="C124" s="16"/>
      <x:c r="D124" s="16"/>
      <x:c r="E124" s="16"/>
      <x:c r="F124" s="16"/>
      <x:c r="G124" s="16"/>
      <x:c r="H124" s="16"/>
      <x:c r="I124" s="16"/>
      <x:c r="J124" s="16"/>
      <x:c r="K124" s="16"/>
      <x:c r="L124" s="16"/>
      <x:c r="M124" s="16"/>
      <x:c r="N124" s="16"/>
      <x:c r="O124" s="16"/>
      <x:c r="P124" s="16"/>
      <x:c r="Q124" s="16"/>
      <x:c r="R124" s="16"/>
      <x:c r="S124" s="16"/>
      <x:c r="T124" s="16"/>
      <x:c r="U124" s="16"/>
      <x:c r="V124" s="16"/>
      <x:c r="W124" s="16"/>
      <x:c r="X124" s="16"/>
      <x:c r="Y124" s="16"/>
    </x:row>
    <x:row r="125">
      <x:c r="A125" s="16"/>
      <x:c r="B125" s="16"/>
      <x:c r="C125" s="16"/>
      <x:c r="D125" s="16"/>
      <x:c r="E125" s="16"/>
      <x:c r="F125" s="16"/>
      <x:c r="G125" s="16"/>
      <x:c r="H125" s="16"/>
      <x:c r="I125" s="16"/>
      <x:c r="J125" s="16"/>
      <x:c r="K125" s="16"/>
      <x:c r="L125" s="16"/>
      <x:c r="M125" s="16"/>
      <x:c r="N125" s="16"/>
      <x:c r="O125" s="16"/>
      <x:c r="P125" s="16"/>
      <x:c r="Q125" s="16"/>
      <x:c r="R125" s="16"/>
      <x:c r="S125" s="16"/>
      <x:c r="T125" s="16"/>
      <x:c r="U125" s="16"/>
      <x:c r="V125" s="16"/>
      <x:c r="W125" s="16"/>
      <x:c r="X125" s="16"/>
      <x:c r="Y125" s="16"/>
    </x:row>
    <x:row r="126">
      <x:c r="A126" s="16"/>
      <x:c r="B126" s="16"/>
      <x:c r="C126" s="16"/>
      <x:c r="D126" s="16"/>
      <x:c r="E126" s="16"/>
      <x:c r="F126" s="16"/>
      <x:c r="G126" s="16"/>
      <x:c r="H126" s="16"/>
      <x:c r="I126" s="16"/>
      <x:c r="J126" s="16"/>
      <x:c r="K126" s="16"/>
      <x:c r="L126" s="16"/>
      <x:c r="M126" s="16"/>
      <x:c r="N126" s="16"/>
      <x:c r="O126" s="16"/>
      <x:c r="P126" s="16"/>
      <x:c r="Q126" s="16"/>
      <x:c r="R126" s="16"/>
      <x:c r="S126" s="16"/>
      <x:c r="T126" s="16"/>
      <x:c r="U126" s="16"/>
      <x:c r="V126" s="16"/>
      <x:c r="W126" s="16"/>
      <x:c r="X126" s="16"/>
      <x:c r="Y126" s="16"/>
    </x:row>
    <x:row r="127">
      <x:c r="A127" s="16"/>
      <x:c r="B127" s="16"/>
      <x:c r="C127" s="16"/>
      <x:c r="D127" s="16"/>
      <x:c r="E127" s="16"/>
      <x:c r="F127" s="16"/>
      <x:c r="G127" s="16"/>
      <x:c r="H127" s="16"/>
      <x:c r="I127" s="16"/>
      <x:c r="J127" s="16"/>
      <x:c r="K127" s="16"/>
      <x:c r="L127" s="16"/>
      <x:c r="M127" s="16"/>
      <x:c r="N127" s="16"/>
      <x:c r="O127" s="16"/>
      <x:c r="P127" s="16"/>
      <x:c r="Q127" s="16"/>
      <x:c r="R127" s="16"/>
      <x:c r="S127" s="16"/>
      <x:c r="T127" s="16"/>
      <x:c r="U127" s="16"/>
      <x:c r="V127" s="16"/>
      <x:c r="W127" s="16"/>
      <x:c r="X127" s="16"/>
      <x:c r="Y127" s="16"/>
    </x:row>
    <x:row r="128">
      <x:c r="A128" s="16"/>
      <x:c r="B128" s="16"/>
      <x:c r="C128" s="16"/>
      <x:c r="D128" s="16"/>
      <x:c r="E128" s="16"/>
      <x:c r="F128" s="16"/>
      <x:c r="G128" s="16"/>
      <x:c r="H128" s="16"/>
      <x:c r="I128" s="16"/>
      <x:c r="J128" s="16"/>
      <x:c r="K128" s="16"/>
      <x:c r="L128" s="16"/>
      <x:c r="M128" s="16"/>
      <x:c r="N128" s="16"/>
      <x:c r="O128" s="16"/>
      <x:c r="P128" s="16"/>
      <x:c r="Q128" s="16"/>
      <x:c r="R128" s="16"/>
      <x:c r="S128" s="16"/>
      <x:c r="T128" s="16"/>
      <x:c r="U128" s="16"/>
      <x:c r="V128" s="16"/>
      <x:c r="W128" s="16"/>
      <x:c r="X128" s="16"/>
      <x:c r="Y128" s="16"/>
    </x:row>
    <x:row r="129">
      <x:c r="A129" s="16"/>
      <x:c r="B129" s="16"/>
      <x:c r="C129" s="16"/>
      <x:c r="D129" s="16"/>
      <x:c r="E129" s="16"/>
      <x:c r="F129" s="16"/>
      <x:c r="G129" s="16"/>
      <x:c r="H129" s="16"/>
      <x:c r="I129" s="16"/>
      <x:c r="J129" s="16"/>
      <x:c r="K129" s="16"/>
      <x:c r="L129" s="16"/>
      <x:c r="M129" s="16"/>
      <x:c r="N129" s="16"/>
      <x:c r="O129" s="16"/>
      <x:c r="P129" s="16"/>
      <x:c r="Q129" s="16"/>
      <x:c r="R129" s="16"/>
      <x:c r="S129" s="16"/>
      <x:c r="T129" s="16"/>
      <x:c r="U129" s="16"/>
      <x:c r="V129" s="16"/>
      <x:c r="W129" s="16"/>
      <x:c r="X129" s="16"/>
      <x:c r="Y129" s="16"/>
    </x:row>
    <x:row r="130">
      <x:c r="A130" s="16"/>
      <x:c r="B130" s="16"/>
      <x:c r="C130" s="16"/>
      <x:c r="D130" s="16"/>
      <x:c r="E130" s="16"/>
      <x:c r="F130" s="16"/>
      <x:c r="G130" s="16"/>
      <x:c r="H130" s="16"/>
      <x:c r="I130" s="16"/>
      <x:c r="J130" s="16"/>
      <x:c r="K130" s="16"/>
      <x:c r="L130" s="16"/>
      <x:c r="M130" s="16"/>
      <x:c r="N130" s="16"/>
      <x:c r="O130" s="16"/>
      <x:c r="P130" s="16"/>
      <x:c r="Q130" s="16"/>
      <x:c r="R130" s="16"/>
      <x:c r="S130" s="16"/>
      <x:c r="T130" s="16"/>
      <x:c r="U130" s="16"/>
      <x:c r="V130" s="16"/>
      <x:c r="W130" s="16"/>
      <x:c r="X130" s="16"/>
      <x:c r="Y130" s="16"/>
    </x:row>
    <x:row r="131">
      <x:c r="A131" s="16"/>
      <x:c r="B131" s="16"/>
      <x:c r="C131" s="16"/>
      <x:c r="D131" s="16"/>
      <x:c r="E131" s="16"/>
      <x:c r="F131" s="16"/>
      <x:c r="G131" s="16"/>
      <x:c r="H131" s="16"/>
      <x:c r="I131" s="16"/>
      <x:c r="J131" s="16"/>
      <x:c r="K131" s="16"/>
      <x:c r="L131" s="16"/>
      <x:c r="M131" s="16"/>
      <x:c r="N131" s="16"/>
      <x:c r="O131" s="16"/>
      <x:c r="P131" s="16"/>
      <x:c r="Q131" s="16"/>
      <x:c r="R131" s="16"/>
      <x:c r="S131" s="16"/>
      <x:c r="T131" s="16"/>
      <x:c r="U131" s="16"/>
      <x:c r="V131" s="16"/>
      <x:c r="W131" s="16"/>
      <x:c r="X131" s="16"/>
      <x:c r="Y131" s="16"/>
    </x:row>
    <x:row r="132">
      <x:c r="A132" s="16"/>
      <x:c r="B132" s="16"/>
      <x:c r="C132" s="16"/>
      <x:c r="D132" s="16"/>
      <x:c r="E132" s="16"/>
      <x:c r="F132" s="16"/>
      <x:c r="G132" s="16"/>
      <x:c r="H132" s="16"/>
      <x:c r="I132" s="16"/>
      <x:c r="J132" s="16"/>
      <x:c r="K132" s="16"/>
      <x:c r="L132" s="16"/>
      <x:c r="M132" s="16"/>
      <x:c r="N132" s="16"/>
      <x:c r="O132" s="16"/>
      <x:c r="P132" s="16"/>
      <x:c r="Q132" s="16"/>
      <x:c r="R132" s="16"/>
      <x:c r="S132" s="16"/>
      <x:c r="T132" s="16"/>
      <x:c r="U132" s="16"/>
      <x:c r="V132" s="16"/>
      <x:c r="W132" s="16"/>
      <x:c r="X132" s="16"/>
      <x:c r="Y132" s="16"/>
    </x:row>
    <x:row r="133">
      <x:c r="A133" s="16"/>
      <x:c r="B133" s="16"/>
      <x:c r="C133" s="16"/>
      <x:c r="D133" s="16"/>
      <x:c r="E133" s="16"/>
      <x:c r="F133" s="16"/>
      <x:c r="G133" s="16"/>
      <x:c r="H133" s="16"/>
      <x:c r="I133" s="16"/>
      <x:c r="J133" s="16"/>
      <x:c r="K133" s="16"/>
      <x:c r="L133" s="16"/>
      <x:c r="M133" s="16"/>
      <x:c r="N133" s="16"/>
      <x:c r="O133" s="16"/>
      <x:c r="P133" s="16"/>
      <x:c r="Q133" s="16"/>
      <x:c r="R133" s="16"/>
      <x:c r="S133" s="16"/>
      <x:c r="T133" s="16"/>
      <x:c r="U133" s="16"/>
      <x:c r="V133" s="16"/>
      <x:c r="W133" s="16"/>
      <x:c r="X133" s="16"/>
      <x:c r="Y133" s="16"/>
    </x:row>
    <x:row r="134">
      <x:c r="A134" s="16"/>
      <x:c r="B134" s="16"/>
      <x:c r="C134" s="16"/>
      <x:c r="D134" s="16"/>
      <x:c r="E134" s="16"/>
      <x:c r="F134" s="16"/>
      <x:c r="G134" s="16"/>
      <x:c r="H134" s="16"/>
      <x:c r="I134" s="16"/>
      <x:c r="J134" s="16"/>
      <x:c r="K134" s="16"/>
      <x:c r="L134" s="16"/>
      <x:c r="M134" s="16"/>
      <x:c r="N134" s="16"/>
      <x:c r="O134" s="16"/>
      <x:c r="P134" s="16"/>
      <x:c r="Q134" s="16"/>
      <x:c r="R134" s="16"/>
      <x:c r="S134" s="16"/>
      <x:c r="T134" s="16"/>
      <x:c r="U134" s="16"/>
      <x:c r="V134" s="16"/>
      <x:c r="W134" s="16"/>
      <x:c r="X134" s="16"/>
      <x:c r="Y134" s="16"/>
    </x:row>
    <x:row r="135">
      <x:c r="A135" s="16"/>
      <x:c r="B135" s="16"/>
      <x:c r="C135" s="16"/>
      <x:c r="D135" s="16"/>
      <x:c r="E135" s="16"/>
      <x:c r="F135" s="16"/>
      <x:c r="G135" s="16"/>
      <x:c r="H135" s="16"/>
      <x:c r="I135" s="16"/>
      <x:c r="J135" s="16"/>
      <x:c r="K135" s="16"/>
      <x:c r="L135" s="16"/>
      <x:c r="M135" s="16"/>
      <x:c r="N135" s="16"/>
      <x:c r="O135" s="16"/>
      <x:c r="P135" s="16"/>
      <x:c r="Q135" s="16"/>
      <x:c r="R135" s="16"/>
      <x:c r="S135" s="16"/>
      <x:c r="T135" s="16"/>
      <x:c r="U135" s="16"/>
      <x:c r="V135" s="16"/>
      <x:c r="W135" s="16"/>
      <x:c r="X135" s="16"/>
      <x:c r="Y135" s="16"/>
    </x:row>
    <x:row r="136">
      <x:c r="A136" s="16"/>
      <x:c r="B136" s="16"/>
      <x:c r="C136" s="16"/>
      <x:c r="D136" s="16"/>
      <x:c r="E136" s="16"/>
      <x:c r="F136" s="16"/>
      <x:c r="G136" s="16"/>
      <x:c r="H136" s="16"/>
      <x:c r="I136" s="16"/>
      <x:c r="J136" s="16"/>
      <x:c r="K136" s="16"/>
      <x:c r="L136" s="16"/>
      <x:c r="M136" s="16"/>
      <x:c r="N136" s="16"/>
      <x:c r="O136" s="16"/>
      <x:c r="P136" s="16"/>
      <x:c r="Q136" s="16"/>
      <x:c r="R136" s="16"/>
      <x:c r="S136" s="16"/>
      <x:c r="T136" s="16"/>
      <x:c r="U136" s="16"/>
      <x:c r="V136" s="16"/>
      <x:c r="W136" s="16"/>
      <x:c r="X136" s="16"/>
      <x:c r="Y136" s="16"/>
    </x:row>
    <x:row r="137">
      <x:c r="A137" s="16"/>
      <x:c r="B137" s="16"/>
      <x:c r="C137" s="16"/>
      <x:c r="D137" s="16"/>
      <x:c r="E137" s="16"/>
      <x:c r="F137" s="16"/>
      <x:c r="G137" s="16"/>
      <x:c r="H137" s="16"/>
      <x:c r="I137" s="16"/>
      <x:c r="J137" s="16"/>
      <x:c r="K137" s="16"/>
      <x:c r="L137" s="16"/>
      <x:c r="M137" s="16"/>
      <x:c r="N137" s="16"/>
      <x:c r="O137" s="16"/>
      <x:c r="P137" s="16"/>
      <x:c r="Q137" s="16"/>
      <x:c r="R137" s="16"/>
      <x:c r="S137" s="16"/>
      <x:c r="T137" s="16"/>
      <x:c r="U137" s="16"/>
      <x:c r="V137" s="16"/>
      <x:c r="W137" s="16"/>
      <x:c r="X137" s="16"/>
      <x:c r="Y137" s="16"/>
    </x:row>
    <x:row r="138">
      <x:c r="A138" s="16"/>
      <x:c r="B138" s="16"/>
      <x:c r="C138" s="16"/>
      <x:c r="D138" s="16"/>
      <x:c r="E138" s="16"/>
      <x:c r="F138" s="16"/>
      <x:c r="G138" s="16"/>
      <x:c r="H138" s="16"/>
      <x:c r="I138" s="16"/>
      <x:c r="J138" s="16"/>
      <x:c r="K138" s="16"/>
      <x:c r="L138" s="16"/>
      <x:c r="M138" s="16"/>
      <x:c r="N138" s="16"/>
      <x:c r="O138" s="16"/>
      <x:c r="P138" s="16"/>
      <x:c r="Q138" s="16"/>
      <x:c r="R138" s="16"/>
      <x:c r="S138" s="16"/>
      <x:c r="T138" s="16"/>
      <x:c r="U138" s="16"/>
      <x:c r="V138" s="16"/>
      <x:c r="W138" s="16"/>
      <x:c r="X138" s="16"/>
      <x:c r="Y138" s="16"/>
    </x:row>
    <x:row r="139">
      <x:c r="A139" s="16"/>
      <x:c r="B139" s="16"/>
      <x:c r="C139" s="16"/>
      <x:c r="D139" s="16"/>
      <x:c r="E139" s="16"/>
      <x:c r="F139" s="16"/>
      <x:c r="G139" s="16"/>
      <x:c r="H139" s="16"/>
      <x:c r="I139" s="16"/>
      <x:c r="J139" s="16"/>
      <x:c r="K139" s="16"/>
      <x:c r="L139" s="16"/>
      <x:c r="M139" s="16"/>
      <x:c r="N139" s="16"/>
      <x:c r="O139" s="16"/>
      <x:c r="P139" s="16"/>
      <x:c r="Q139" s="16"/>
      <x:c r="R139" s="16"/>
      <x:c r="S139" s="16"/>
      <x:c r="T139" s="16"/>
      <x:c r="U139" s="16"/>
      <x:c r="V139" s="16"/>
      <x:c r="W139" s="16"/>
      <x:c r="X139" s="16"/>
      <x:c r="Y139" s="16"/>
    </x:row>
    <x:row r="140">
      <x:c r="A140" s="16"/>
      <x:c r="B140" s="16"/>
      <x:c r="C140" s="16"/>
      <x:c r="D140" s="16"/>
      <x:c r="E140" s="16"/>
      <x:c r="F140" s="16"/>
      <x:c r="G140" s="16"/>
      <x:c r="H140" s="16"/>
      <x:c r="I140" s="16"/>
      <x:c r="J140" s="16"/>
      <x:c r="K140" s="16"/>
      <x:c r="L140" s="16"/>
      <x:c r="M140" s="16"/>
      <x:c r="N140" s="16"/>
      <x:c r="O140" s="16"/>
      <x:c r="P140" s="16"/>
      <x:c r="Q140" s="16"/>
      <x:c r="R140" s="16"/>
      <x:c r="S140" s="16"/>
      <x:c r="T140" s="16"/>
      <x:c r="U140" s="16"/>
      <x:c r="V140" s="16"/>
      <x:c r="W140" s="16"/>
      <x:c r="X140" s="16"/>
      <x:c r="Y140" s="16"/>
    </x:row>
    <x:row r="141">
      <x:c r="A141" s="16"/>
      <x:c r="B141" s="16"/>
      <x:c r="C141" s="16"/>
      <x:c r="D141" s="16"/>
      <x:c r="E141" s="16"/>
      <x:c r="F141" s="16"/>
      <x:c r="G141" s="16"/>
      <x:c r="H141" s="16"/>
      <x:c r="I141" s="16"/>
      <x:c r="J141" s="16"/>
      <x:c r="K141" s="16"/>
      <x:c r="L141" s="16"/>
      <x:c r="M141" s="16"/>
      <x:c r="N141" s="16"/>
      <x:c r="O141" s="16"/>
      <x:c r="P141" s="16"/>
      <x:c r="Q141" s="16"/>
      <x:c r="R141" s="16"/>
      <x:c r="S141" s="16"/>
      <x:c r="T141" s="16"/>
      <x:c r="U141" s="16"/>
      <x:c r="V141" s="16"/>
      <x:c r="W141" s="16"/>
      <x:c r="X141" s="16"/>
      <x:c r="Y141" s="16"/>
    </x:row>
    <x:row r="142">
      <x:c r="A142" s="16"/>
      <x:c r="B142" s="16"/>
      <x:c r="C142" s="16"/>
      <x:c r="D142" s="16"/>
      <x:c r="E142" s="16"/>
      <x:c r="F142" s="16"/>
      <x:c r="G142" s="16"/>
      <x:c r="H142" s="16"/>
      <x:c r="I142" s="16"/>
      <x:c r="J142" s="16"/>
      <x:c r="K142" s="16"/>
      <x:c r="L142" s="16"/>
      <x:c r="M142" s="16"/>
      <x:c r="N142" s="16"/>
      <x:c r="O142" s="16"/>
      <x:c r="P142" s="16"/>
      <x:c r="Q142" s="16"/>
      <x:c r="R142" s="16"/>
      <x:c r="S142" s="16"/>
      <x:c r="T142" s="16"/>
      <x:c r="U142" s="16"/>
      <x:c r="V142" s="16"/>
      <x:c r="W142" s="16"/>
      <x:c r="X142" s="16"/>
      <x:c r="Y142" s="16"/>
    </x:row>
    <x:row r="143">
      <x:c r="A143" s="16"/>
      <x:c r="B143" s="16"/>
      <x:c r="C143" s="16"/>
      <x:c r="D143" s="16"/>
      <x:c r="E143" s="16"/>
      <x:c r="F143" s="16"/>
      <x:c r="G143" s="16"/>
      <x:c r="H143" s="16"/>
      <x:c r="I143" s="16"/>
      <x:c r="J143" s="16"/>
      <x:c r="K143" s="16"/>
      <x:c r="L143" s="16"/>
      <x:c r="M143" s="16"/>
      <x:c r="N143" s="16"/>
      <x:c r="O143" s="16"/>
      <x:c r="P143" s="16"/>
      <x:c r="Q143" s="16"/>
      <x:c r="R143" s="16"/>
      <x:c r="S143" s="16"/>
      <x:c r="T143" s="16"/>
      <x:c r="U143" s="16"/>
      <x:c r="V143" s="16"/>
      <x:c r="W143" s="16"/>
      <x:c r="X143" s="16"/>
      <x:c r="Y143" s="16"/>
    </x:row>
    <x:row r="144">
      <x:c r="A144" s="16"/>
      <x:c r="B144" s="16"/>
      <x:c r="C144" s="16"/>
      <x:c r="D144" s="16"/>
      <x:c r="E144" s="16"/>
      <x:c r="F144" s="16"/>
      <x:c r="G144" s="16"/>
      <x:c r="H144" s="16"/>
      <x:c r="I144" s="16"/>
      <x:c r="J144" s="16"/>
      <x:c r="K144" s="16"/>
      <x:c r="L144" s="16"/>
      <x:c r="M144" s="16"/>
      <x:c r="N144" s="16"/>
      <x:c r="O144" s="16"/>
      <x:c r="P144" s="16"/>
      <x:c r="Q144" s="16"/>
      <x:c r="R144" s="16"/>
      <x:c r="S144" s="16"/>
      <x:c r="T144" s="16"/>
      <x:c r="U144" s="16"/>
      <x:c r="V144" s="16"/>
      <x:c r="W144" s="16"/>
      <x:c r="X144" s="16"/>
      <x:c r="Y144" s="16"/>
    </x:row>
    <x:row r="145">
      <x:c r="A145" s="16"/>
      <x:c r="B145" s="16"/>
      <x:c r="C145" s="16"/>
      <x:c r="D145" s="16"/>
      <x:c r="E145" s="16"/>
      <x:c r="F145" s="16"/>
      <x:c r="G145" s="16"/>
      <x:c r="H145" s="16"/>
      <x:c r="I145" s="16"/>
      <x:c r="J145" s="16"/>
      <x:c r="K145" s="16"/>
      <x:c r="L145" s="16"/>
      <x:c r="M145" s="16"/>
      <x:c r="N145" s="16"/>
      <x:c r="O145" s="16"/>
      <x:c r="P145" s="16"/>
      <x:c r="Q145" s="16"/>
      <x:c r="R145" s="16"/>
      <x:c r="S145" s="16"/>
      <x:c r="T145" s="16"/>
      <x:c r="U145" s="16"/>
      <x:c r="V145" s="16"/>
      <x:c r="W145" s="16"/>
      <x:c r="X145" s="16"/>
      <x:c r="Y145" s="16"/>
    </x:row>
    <x:row r="146">
      <x:c r="A146" s="16"/>
      <x:c r="B146" s="16"/>
      <x:c r="C146" s="16"/>
      <x:c r="D146" s="16"/>
      <x:c r="E146" s="16"/>
      <x:c r="F146" s="16"/>
      <x:c r="G146" s="16"/>
      <x:c r="H146" s="16"/>
      <x:c r="I146" s="16"/>
      <x:c r="J146" s="16"/>
      <x:c r="K146" s="16"/>
      <x:c r="L146" s="16"/>
      <x:c r="M146" s="16"/>
      <x:c r="N146" s="16"/>
      <x:c r="O146" s="16"/>
      <x:c r="P146" s="16"/>
      <x:c r="Q146" s="16"/>
      <x:c r="R146" s="16"/>
      <x:c r="S146" s="16"/>
      <x:c r="T146" s="16"/>
      <x:c r="U146" s="16"/>
      <x:c r="V146" s="16"/>
      <x:c r="W146" s="16"/>
      <x:c r="X146" s="16"/>
      <x:c r="Y146" s="16"/>
    </x:row>
    <x:row r="147">
      <x:c r="A147" s="16"/>
      <x:c r="B147" s="16"/>
      <x:c r="C147" s="16"/>
      <x:c r="D147" s="16"/>
      <x:c r="E147" s="16"/>
      <x:c r="F147" s="16"/>
      <x:c r="G147" s="16"/>
      <x:c r="H147" s="16"/>
      <x:c r="I147" s="16"/>
      <x:c r="J147" s="16"/>
      <x:c r="K147" s="16"/>
      <x:c r="L147" s="16"/>
      <x:c r="M147" s="16"/>
      <x:c r="N147" s="16"/>
      <x:c r="O147" s="16"/>
      <x:c r="P147" s="16"/>
      <x:c r="Q147" s="16"/>
      <x:c r="R147" s="16"/>
      <x:c r="S147" s="16"/>
      <x:c r="T147" s="16"/>
      <x:c r="U147" s="16"/>
      <x:c r="V147" s="16"/>
      <x:c r="W147" s="16"/>
      <x:c r="X147" s="16"/>
      <x:c r="Y147" s="16"/>
    </x:row>
    <x:row r="148">
      <x:c r="A148" s="16"/>
      <x:c r="B148" s="16"/>
      <x:c r="C148" s="16"/>
      <x:c r="D148" s="16"/>
      <x:c r="E148" s="16"/>
      <x:c r="F148" s="16"/>
      <x:c r="G148" s="16"/>
      <x:c r="H148" s="16"/>
      <x:c r="I148" s="16"/>
      <x:c r="J148" s="16"/>
      <x:c r="K148" s="16"/>
      <x:c r="L148" s="16"/>
      <x:c r="M148" s="16"/>
      <x:c r="N148" s="16"/>
      <x:c r="O148" s="16"/>
      <x:c r="P148" s="16"/>
      <x:c r="Q148" s="16"/>
      <x:c r="R148" s="16"/>
      <x:c r="S148" s="16"/>
      <x:c r="T148" s="16"/>
      <x:c r="U148" s="16"/>
      <x:c r="V148" s="16"/>
      <x:c r="W148" s="16"/>
      <x:c r="X148" s="16"/>
      <x:c r="Y148" s="16"/>
    </x:row>
    <x:row r="149">
      <x:c r="A149" s="16"/>
      <x:c r="B149" s="16"/>
      <x:c r="C149" s="16"/>
      <x:c r="D149" s="16"/>
      <x:c r="E149" s="16"/>
      <x:c r="F149" s="16"/>
      <x:c r="G149" s="16"/>
      <x:c r="H149" s="16"/>
      <x:c r="I149" s="16"/>
      <x:c r="J149" s="16"/>
      <x:c r="K149" s="16"/>
      <x:c r="L149" s="16"/>
      <x:c r="M149" s="16"/>
      <x:c r="N149" s="16"/>
      <x:c r="O149" s="16"/>
      <x:c r="P149" s="16"/>
      <x:c r="Q149" s="16"/>
      <x:c r="R149" s="16"/>
      <x:c r="S149" s="16"/>
      <x:c r="T149" s="16"/>
      <x:c r="U149" s="16"/>
      <x:c r="V149" s="16"/>
      <x:c r="W149" s="16"/>
      <x:c r="X149" s="16"/>
      <x:c r="Y149" s="16"/>
    </x:row>
    <x:row r="150">
      <x:c r="A150" s="16"/>
      <x:c r="B150" s="16"/>
      <x:c r="C150" s="16"/>
      <x:c r="D150" s="16"/>
      <x:c r="E150" s="16"/>
      <x:c r="F150" s="16"/>
      <x:c r="G150" s="16"/>
      <x:c r="H150" s="16"/>
      <x:c r="I150" s="16"/>
      <x:c r="J150" s="16"/>
      <x:c r="K150" s="16"/>
      <x:c r="L150" s="16"/>
      <x:c r="M150" s="16"/>
      <x:c r="N150" s="16"/>
      <x:c r="O150" s="16"/>
      <x:c r="P150" s="16"/>
      <x:c r="Q150" s="16"/>
      <x:c r="R150" s="16"/>
      <x:c r="S150" s="16"/>
      <x:c r="T150" s="16"/>
      <x:c r="U150" s="16"/>
      <x:c r="V150" s="16"/>
      <x:c r="W150" s="16"/>
      <x:c r="X150" s="16"/>
      <x:c r="Y150" s="16"/>
    </x:row>
    <x:row r="151">
      <x:c r="A151" s="16"/>
      <x:c r="B151" s="16"/>
      <x:c r="C151" s="16"/>
      <x:c r="D151" s="16"/>
      <x:c r="E151" s="16"/>
      <x:c r="F151" s="16"/>
      <x:c r="G151" s="16"/>
      <x:c r="H151" s="16"/>
      <x:c r="I151" s="16"/>
      <x:c r="J151" s="16"/>
      <x:c r="K151" s="16"/>
      <x:c r="L151" s="16"/>
      <x:c r="M151" s="16"/>
      <x:c r="N151" s="16"/>
      <x:c r="O151" s="16"/>
      <x:c r="P151" s="16"/>
      <x:c r="Q151" s="16"/>
      <x:c r="R151" s="16"/>
      <x:c r="S151" s="16"/>
      <x:c r="T151" s="16"/>
      <x:c r="U151" s="16"/>
      <x:c r="V151" s="16"/>
      <x:c r="W151" s="16"/>
      <x:c r="X151" s="16"/>
      <x:c r="Y151" s="16"/>
    </x:row>
    <x:row r="152">
      <x:c r="A152" s="16"/>
      <x:c r="B152" s="16"/>
      <x:c r="C152" s="16"/>
      <x:c r="D152" s="16"/>
      <x:c r="E152" s="16"/>
      <x:c r="F152" s="16"/>
      <x:c r="G152" s="16"/>
      <x:c r="H152" s="16"/>
      <x:c r="I152" s="16"/>
      <x:c r="J152" s="16"/>
      <x:c r="K152" s="16"/>
      <x:c r="L152" s="16"/>
      <x:c r="M152" s="16"/>
      <x:c r="N152" s="16"/>
      <x:c r="O152" s="16"/>
      <x:c r="P152" s="16"/>
      <x:c r="Q152" s="16"/>
      <x:c r="R152" s="16"/>
      <x:c r="S152" s="16"/>
      <x:c r="T152" s="16"/>
      <x:c r="U152" s="16"/>
      <x:c r="V152" s="16"/>
      <x:c r="W152" s="16"/>
      <x:c r="X152" s="16"/>
      <x:c r="Y152" s="16"/>
    </x:row>
    <x:row r="153">
      <x:c r="A153" s="16"/>
      <x:c r="B153" s="16"/>
      <x:c r="C153" s="16"/>
      <x:c r="D153" s="16"/>
      <x:c r="E153" s="16"/>
      <x:c r="F153" s="16"/>
      <x:c r="G153" s="16"/>
      <x:c r="H153" s="16"/>
      <x:c r="I153" s="16"/>
      <x:c r="J153" s="16"/>
      <x:c r="K153" s="16"/>
      <x:c r="L153" s="16"/>
      <x:c r="M153" s="16"/>
      <x:c r="N153" s="16"/>
      <x:c r="O153" s="16"/>
      <x:c r="P153" s="16"/>
      <x:c r="Q153" s="16"/>
      <x:c r="R153" s="16"/>
      <x:c r="S153" s="16"/>
      <x:c r="T153" s="16"/>
      <x:c r="U153" s="16"/>
      <x:c r="V153" s="16"/>
      <x:c r="W153" s="16"/>
      <x:c r="X153" s="16"/>
      <x:c r="Y153" s="16"/>
    </x:row>
    <x:row r="154">
      <x:c r="A154" s="16"/>
      <x:c r="B154" s="16"/>
      <x:c r="C154" s="16"/>
      <x:c r="D154" s="16"/>
      <x:c r="E154" s="16"/>
      <x:c r="F154" s="16"/>
      <x:c r="G154" s="16"/>
      <x:c r="H154" s="16"/>
      <x:c r="I154" s="16"/>
      <x:c r="J154" s="16"/>
      <x:c r="K154" s="16"/>
      <x:c r="L154" s="16"/>
      <x:c r="M154" s="16"/>
      <x:c r="N154" s="16"/>
      <x:c r="O154" s="16"/>
      <x:c r="P154" s="16"/>
      <x:c r="Q154" s="16"/>
      <x:c r="R154" s="16"/>
      <x:c r="S154" s="16"/>
      <x:c r="T154" s="16"/>
      <x:c r="U154" s="16"/>
      <x:c r="V154" s="16"/>
      <x:c r="W154" s="16"/>
      <x:c r="X154" s="16"/>
      <x:c r="Y154" s="16"/>
    </x:row>
    <x:row r="155">
      <x:c r="A155" s="16"/>
      <x:c r="B155" s="16"/>
      <x:c r="C155" s="16"/>
      <x:c r="D155" s="16"/>
      <x:c r="E155" s="16"/>
      <x:c r="F155" s="16"/>
      <x:c r="G155" s="16"/>
      <x:c r="H155" s="16"/>
      <x:c r="I155" s="16"/>
      <x:c r="J155" s="16"/>
      <x:c r="K155" s="16"/>
      <x:c r="L155" s="16"/>
      <x:c r="M155" s="16"/>
      <x:c r="N155" s="16"/>
      <x:c r="O155" s="16"/>
      <x:c r="P155" s="16"/>
      <x:c r="Q155" s="16"/>
      <x:c r="R155" s="16"/>
      <x:c r="S155" s="16"/>
      <x:c r="T155" s="16"/>
      <x:c r="U155" s="16"/>
      <x:c r="V155" s="16"/>
      <x:c r="W155" s="16"/>
      <x:c r="X155" s="16"/>
      <x:c r="Y155" s="16"/>
    </x:row>
    <x:row r="156">
      <x:c r="A156" s="16"/>
      <x:c r="B156" s="16"/>
      <x:c r="C156" s="16"/>
      <x:c r="D156" s="16"/>
      <x:c r="E156" s="16"/>
      <x:c r="F156" s="16"/>
      <x:c r="G156" s="16"/>
      <x:c r="H156" s="16"/>
      <x:c r="I156" s="16"/>
      <x:c r="J156" s="16"/>
      <x:c r="K156" s="16"/>
      <x:c r="L156" s="16"/>
      <x:c r="M156" s="16"/>
      <x:c r="N156" s="16"/>
      <x:c r="O156" s="16"/>
      <x:c r="P156" s="16"/>
      <x:c r="Q156" s="16"/>
      <x:c r="R156" s="16"/>
      <x:c r="S156" s="16"/>
      <x:c r="T156" s="16"/>
      <x:c r="U156" s="16"/>
      <x:c r="V156" s="16"/>
      <x:c r="W156" s="16"/>
      <x:c r="X156" s="16"/>
      <x:c r="Y156" s="16"/>
    </x:row>
    <x:row r="157">
      <x:c r="A157" s="16"/>
      <x:c r="B157" s="16"/>
      <x:c r="C157" s="16"/>
      <x:c r="D157" s="16"/>
      <x:c r="E157" s="16"/>
      <x:c r="F157" s="16"/>
      <x:c r="G157" s="16"/>
      <x:c r="H157" s="16"/>
      <x:c r="I157" s="16"/>
      <x:c r="J157" s="16"/>
      <x:c r="K157" s="16"/>
      <x:c r="L157" s="16"/>
      <x:c r="M157" s="16"/>
      <x:c r="N157" s="16"/>
      <x:c r="O157" s="16"/>
      <x:c r="P157" s="16"/>
      <x:c r="Q157" s="16"/>
      <x:c r="R157" s="16"/>
      <x:c r="S157" s="16"/>
      <x:c r="T157" s="16"/>
      <x:c r="U157" s="16"/>
      <x:c r="V157" s="16"/>
      <x:c r="W157" s="16"/>
      <x:c r="X157" s="16"/>
      <x:c r="Y157" s="16"/>
    </x:row>
    <x:row r="158">
      <x:c r="A158" s="16"/>
      <x:c r="B158" s="16"/>
      <x:c r="C158" s="16"/>
      <x:c r="D158" s="16"/>
      <x:c r="E158" s="16"/>
      <x:c r="F158" s="16"/>
      <x:c r="G158" s="16"/>
      <x:c r="H158" s="16"/>
      <x:c r="I158" s="16"/>
      <x:c r="J158" s="16"/>
      <x:c r="K158" s="16"/>
      <x:c r="L158" s="16"/>
      <x:c r="M158" s="16"/>
      <x:c r="N158" s="16"/>
      <x:c r="O158" s="16"/>
      <x:c r="P158" s="16"/>
      <x:c r="Q158" s="16"/>
      <x:c r="R158" s="16"/>
      <x:c r="S158" s="16"/>
      <x:c r="T158" s="16"/>
      <x:c r="U158" s="16"/>
      <x:c r="V158" s="16"/>
      <x:c r="W158" s="16"/>
      <x:c r="X158" s="16"/>
      <x:c r="Y158" s="16"/>
    </x:row>
    <x:row r="159">
      <x:c r="A159" s="16"/>
      <x:c r="B159" s="16"/>
      <x:c r="C159" s="16"/>
      <x:c r="D159" s="16"/>
      <x:c r="E159" s="16"/>
      <x:c r="F159" s="16"/>
      <x:c r="G159" s="16"/>
      <x:c r="H159" s="16"/>
      <x:c r="I159" s="16"/>
      <x:c r="J159" s="16"/>
      <x:c r="K159" s="16"/>
      <x:c r="L159" s="16"/>
      <x:c r="M159" s="16"/>
      <x:c r="N159" s="16"/>
      <x:c r="O159" s="16"/>
      <x:c r="P159" s="16"/>
      <x:c r="Q159" s="16"/>
      <x:c r="R159" s="16"/>
      <x:c r="S159" s="16"/>
      <x:c r="T159" s="16"/>
      <x:c r="U159" s="16"/>
      <x:c r="V159" s="16"/>
      <x:c r="W159" s="16"/>
      <x:c r="X159" s="16"/>
      <x:c r="Y159" s="16"/>
    </x:row>
    <x:row r="160">
      <x:c r="A160" s="16"/>
      <x:c r="B160" s="16"/>
      <x:c r="C160" s="16"/>
      <x:c r="D160" s="16"/>
      <x:c r="E160" s="16"/>
      <x:c r="F160" s="16"/>
      <x:c r="G160" s="16"/>
      <x:c r="H160" s="16"/>
      <x:c r="I160" s="16"/>
      <x:c r="J160" s="16"/>
      <x:c r="K160" s="16"/>
      <x:c r="L160" s="16"/>
      <x:c r="M160" s="16"/>
      <x:c r="N160" s="16"/>
      <x:c r="O160" s="16"/>
      <x:c r="P160" s="16"/>
      <x:c r="Q160" s="16"/>
      <x:c r="R160" s="16"/>
      <x:c r="S160" s="16"/>
      <x:c r="T160" s="16"/>
      <x:c r="U160" s="16"/>
      <x:c r="V160" s="16"/>
      <x:c r="W160" s="16"/>
      <x:c r="X160" s="16"/>
      <x:c r="Y160" s="16"/>
    </x:row>
    <x:row r="161">
      <x:c r="A161" s="16"/>
      <x:c r="B161" s="16"/>
      <x:c r="C161" s="16"/>
      <x:c r="D161" s="16"/>
      <x:c r="E161" s="16"/>
      <x:c r="F161" s="16"/>
      <x:c r="G161" s="16"/>
      <x:c r="H161" s="16"/>
      <x:c r="I161" s="16"/>
      <x:c r="J161" s="16"/>
      <x:c r="K161" s="16"/>
      <x:c r="L161" s="16"/>
      <x:c r="M161" s="16"/>
      <x:c r="N161" s="16"/>
      <x:c r="O161" s="16"/>
      <x:c r="P161" s="16"/>
      <x:c r="Q161" s="16"/>
      <x:c r="R161" s="16"/>
      <x:c r="S161" s="16"/>
      <x:c r="T161" s="16"/>
      <x:c r="U161" s="16"/>
      <x:c r="V161" s="16"/>
      <x:c r="W161" s="16"/>
      <x:c r="X161" s="16"/>
      <x:c r="Y161" s="16"/>
    </x:row>
    <x:row r="162">
      <x:c r="A162" s="16"/>
      <x:c r="B162" s="16"/>
      <x:c r="C162" s="16"/>
      <x:c r="D162" s="16"/>
      <x:c r="E162" s="16"/>
      <x:c r="F162" s="16"/>
      <x:c r="G162" s="16"/>
      <x:c r="H162" s="16"/>
      <x:c r="I162" s="16"/>
      <x:c r="J162" s="16"/>
      <x:c r="K162" s="16"/>
      <x:c r="L162" s="16"/>
      <x:c r="M162" s="16"/>
      <x:c r="N162" s="16"/>
      <x:c r="O162" s="16"/>
      <x:c r="P162" s="16"/>
      <x:c r="Q162" s="16"/>
      <x:c r="R162" s="16"/>
      <x:c r="S162" s="16"/>
      <x:c r="T162" s="16"/>
      <x:c r="U162" s="16"/>
      <x:c r="V162" s="16"/>
      <x:c r="W162" s="16"/>
      <x:c r="X162" s="16"/>
      <x:c r="Y162" s="16"/>
    </x:row>
    <x:row r="163">
      <x:c r="A163" s="16"/>
      <x:c r="B163" s="16"/>
      <x:c r="C163" s="16"/>
      <x:c r="D163" s="16"/>
      <x:c r="E163" s="16"/>
      <x:c r="F163" s="16"/>
      <x:c r="G163" s="16"/>
      <x:c r="H163" s="16"/>
      <x:c r="I163" s="16"/>
      <x:c r="J163" s="16"/>
      <x:c r="K163" s="16"/>
      <x:c r="L163" s="16"/>
      <x:c r="M163" s="16"/>
      <x:c r="N163" s="16"/>
      <x:c r="O163" s="16"/>
      <x:c r="P163" s="16"/>
      <x:c r="Q163" s="16"/>
      <x:c r="R163" s="16"/>
      <x:c r="S163" s="16"/>
      <x:c r="T163" s="16"/>
      <x:c r="U163" s="16"/>
      <x:c r="V163" s="16"/>
      <x:c r="W163" s="16"/>
      <x:c r="X163" s="16"/>
      <x:c r="Y163" s="16"/>
    </x:row>
    <x:row r="164">
      <x:c r="A164" s="16"/>
      <x:c r="B164" s="16"/>
      <x:c r="C164" s="16"/>
      <x:c r="D164" s="16"/>
      <x:c r="E164" s="16"/>
      <x:c r="F164" s="16"/>
      <x:c r="G164" s="16"/>
      <x:c r="H164" s="16"/>
      <x:c r="I164" s="16"/>
      <x:c r="J164" s="16"/>
      <x:c r="K164" s="16"/>
      <x:c r="L164" s="16"/>
      <x:c r="M164" s="16"/>
      <x:c r="N164" s="16"/>
      <x:c r="O164" s="16"/>
      <x:c r="P164" s="16"/>
      <x:c r="Q164" s="16"/>
      <x:c r="R164" s="16"/>
      <x:c r="S164" s="16"/>
      <x:c r="T164" s="16"/>
      <x:c r="U164" s="16"/>
      <x:c r="V164" s="16"/>
      <x:c r="W164" s="16"/>
      <x:c r="X164" s="16"/>
      <x:c r="Y164" s="16"/>
    </x:row>
    <x:row r="165">
      <x:c r="A165" s="16"/>
      <x:c r="B165" s="16"/>
      <x:c r="C165" s="16"/>
      <x:c r="D165" s="16"/>
      <x:c r="E165" s="16"/>
      <x:c r="F165" s="16"/>
      <x:c r="G165" s="16"/>
      <x:c r="H165" s="16"/>
      <x:c r="I165" s="16"/>
      <x:c r="J165" s="16"/>
      <x:c r="K165" s="16"/>
      <x:c r="L165" s="16"/>
      <x:c r="M165" s="16"/>
      <x:c r="N165" s="16"/>
      <x:c r="O165" s="16"/>
      <x:c r="P165" s="16"/>
      <x:c r="Q165" s="16"/>
      <x:c r="R165" s="16"/>
      <x:c r="S165" s="16"/>
      <x:c r="T165" s="16"/>
      <x:c r="U165" s="16"/>
      <x:c r="V165" s="16"/>
      <x:c r="W165" s="16"/>
      <x:c r="X165" s="16"/>
      <x:c r="Y165" s="16"/>
    </x:row>
    <x:row r="166">
      <x:c r="A166" s="16"/>
      <x:c r="B166" s="16"/>
      <x:c r="C166" s="16"/>
      <x:c r="D166" s="16"/>
      <x:c r="E166" s="16"/>
      <x:c r="F166" s="16"/>
      <x:c r="G166" s="16"/>
      <x:c r="H166" s="16"/>
      <x:c r="I166" s="16"/>
      <x:c r="J166" s="16"/>
      <x:c r="K166" s="16"/>
      <x:c r="L166" s="16"/>
      <x:c r="M166" s="16"/>
      <x:c r="N166" s="16"/>
      <x:c r="O166" s="16"/>
      <x:c r="P166" s="16"/>
      <x:c r="Q166" s="16"/>
      <x:c r="R166" s="16"/>
      <x:c r="S166" s="16"/>
      <x:c r="T166" s="16"/>
      <x:c r="U166" s="16"/>
      <x:c r="V166" s="16"/>
      <x:c r="W166" s="16"/>
      <x:c r="X166" s="16"/>
      <x:c r="Y166" s="16"/>
    </x:row>
    <x:row r="167">
      <x:c r="A167" s="16"/>
      <x:c r="B167" s="16"/>
      <x:c r="C167" s="16"/>
      <x:c r="D167" s="16"/>
      <x:c r="E167" s="16"/>
      <x:c r="F167" s="16"/>
      <x:c r="G167" s="16"/>
      <x:c r="H167" s="16"/>
      <x:c r="I167" s="16"/>
      <x:c r="J167" s="16"/>
      <x:c r="K167" s="16"/>
      <x:c r="L167" s="16"/>
      <x:c r="M167" s="16"/>
      <x:c r="N167" s="16"/>
      <x:c r="O167" s="16"/>
      <x:c r="P167" s="16"/>
      <x:c r="Q167" s="16"/>
      <x:c r="R167" s="16"/>
      <x:c r="S167" s="16"/>
      <x:c r="T167" s="16"/>
      <x:c r="U167" s="16"/>
      <x:c r="V167" s="16"/>
      <x:c r="W167" s="16"/>
      <x:c r="X167" s="16"/>
      <x:c r="Y167" s="16"/>
    </x:row>
    <x:row r="168">
      <x:c r="A168" s="16"/>
      <x:c r="B168" s="16"/>
      <x:c r="C168" s="16"/>
      <x:c r="D168" s="16"/>
      <x:c r="E168" s="16"/>
      <x:c r="F168" s="16"/>
      <x:c r="G168" s="16"/>
      <x:c r="H168" s="16"/>
      <x:c r="I168" s="16"/>
      <x:c r="J168" s="16"/>
      <x:c r="K168" s="16"/>
      <x:c r="L168" s="16"/>
      <x:c r="M168" s="16"/>
      <x:c r="N168" s="16"/>
      <x:c r="O168" s="16"/>
      <x:c r="P168" s="16"/>
      <x:c r="Q168" s="16"/>
      <x:c r="R168" s="16"/>
      <x:c r="S168" s="16"/>
      <x:c r="T168" s="16"/>
      <x:c r="U168" s="16"/>
      <x:c r="V168" s="16"/>
      <x:c r="W168" s="16"/>
      <x:c r="X168" s="16"/>
      <x:c r="Y168" s="16"/>
    </x:row>
    <x:row r="169">
      <x:c r="A169" s="16"/>
      <x:c r="B169" s="16"/>
      <x:c r="C169" s="16"/>
      <x:c r="D169" s="16"/>
      <x:c r="E169" s="16"/>
      <x:c r="F169" s="16"/>
      <x:c r="G169" s="16"/>
      <x:c r="H169" s="16"/>
      <x:c r="I169" s="16"/>
      <x:c r="J169" s="16"/>
      <x:c r="K169" s="16"/>
      <x:c r="L169" s="16"/>
      <x:c r="M169" s="16"/>
      <x:c r="N169" s="16"/>
      <x:c r="O169" s="16"/>
      <x:c r="P169" s="16"/>
      <x:c r="Q169" s="16"/>
      <x:c r="R169" s="16"/>
      <x:c r="S169" s="16"/>
      <x:c r="T169" s="16"/>
      <x:c r="U169" s="16"/>
      <x:c r="V169" s="16"/>
      <x:c r="W169" s="16"/>
      <x:c r="X169" s="16"/>
      <x:c r="Y169" s="16"/>
    </x:row>
    <x:row r="170">
      <x:c r="A170" s="16"/>
      <x:c r="B170" s="16"/>
      <x:c r="C170" s="16"/>
      <x:c r="D170" s="16"/>
      <x:c r="E170" s="16"/>
      <x:c r="F170" s="16"/>
      <x:c r="G170" s="16"/>
      <x:c r="H170" s="16"/>
      <x:c r="I170" s="16"/>
      <x:c r="J170" s="16"/>
      <x:c r="K170" s="16"/>
      <x:c r="L170" s="16"/>
      <x:c r="M170" s="16"/>
      <x:c r="N170" s="16"/>
      <x:c r="O170" s="16"/>
      <x:c r="P170" s="16"/>
      <x:c r="Q170" s="16"/>
      <x:c r="R170" s="16"/>
      <x:c r="S170" s="16"/>
      <x:c r="T170" s="16"/>
      <x:c r="U170" s="16"/>
      <x:c r="V170" s="16"/>
      <x:c r="W170" s="16"/>
      <x:c r="X170" s="16"/>
      <x:c r="Y170" s="16"/>
    </x:row>
    <x:row r="171">
      <x:c r="A171" s="16"/>
      <x:c r="B171" s="16"/>
      <x:c r="C171" s="16"/>
      <x:c r="D171" s="16"/>
      <x:c r="E171" s="16"/>
      <x:c r="F171" s="16"/>
      <x:c r="G171" s="16"/>
      <x:c r="H171" s="16"/>
      <x:c r="I171" s="16"/>
      <x:c r="J171" s="16"/>
      <x:c r="K171" s="16"/>
      <x:c r="L171" s="16"/>
      <x:c r="M171" s="16"/>
      <x:c r="N171" s="16"/>
      <x:c r="O171" s="16"/>
      <x:c r="P171" s="16"/>
      <x:c r="Q171" s="16"/>
      <x:c r="R171" s="16"/>
      <x:c r="S171" s="16"/>
      <x:c r="T171" s="16"/>
      <x:c r="U171" s="16"/>
      <x:c r="V171" s="16"/>
      <x:c r="W171" s="16"/>
      <x:c r="X171" s="16"/>
      <x:c r="Y171" s="16"/>
    </x:row>
    <x:row r="172">
      <x:c r="A172" s="16"/>
      <x:c r="B172" s="16"/>
      <x:c r="C172" s="16"/>
      <x:c r="D172" s="16"/>
      <x:c r="E172" s="16"/>
      <x:c r="F172" s="16"/>
      <x:c r="G172" s="16"/>
      <x:c r="H172" s="16"/>
      <x:c r="I172" s="16"/>
      <x:c r="J172" s="16"/>
      <x:c r="K172" s="16"/>
      <x:c r="L172" s="16"/>
      <x:c r="M172" s="16"/>
      <x:c r="N172" s="16"/>
      <x:c r="O172" s="16"/>
      <x:c r="P172" s="16"/>
      <x:c r="Q172" s="16"/>
      <x:c r="R172" s="16"/>
      <x:c r="S172" s="16"/>
      <x:c r="T172" s="16"/>
      <x:c r="U172" s="16"/>
      <x:c r="V172" s="16"/>
      <x:c r="W172" s="16"/>
      <x:c r="X172" s="16"/>
      <x:c r="Y172" s="16"/>
    </x:row>
    <x:row r="173">
      <x:c r="A173" s="16"/>
      <x:c r="B173" s="16"/>
      <x:c r="C173" s="16"/>
      <x:c r="D173" s="16"/>
      <x:c r="E173" s="16"/>
      <x:c r="F173" s="16"/>
      <x:c r="G173" s="16"/>
      <x:c r="H173" s="16"/>
      <x:c r="I173" s="16"/>
      <x:c r="J173" s="16"/>
      <x:c r="K173" s="16"/>
      <x:c r="L173" s="16"/>
      <x:c r="M173" s="16"/>
      <x:c r="N173" s="16"/>
      <x:c r="O173" s="16"/>
      <x:c r="P173" s="16"/>
      <x:c r="Q173" s="16"/>
      <x:c r="R173" s="16"/>
      <x:c r="S173" s="16"/>
      <x:c r="T173" s="16"/>
      <x:c r="U173" s="16"/>
      <x:c r="V173" s="16"/>
      <x:c r="W173" s="16"/>
      <x:c r="X173" s="16"/>
      <x:c r="Y173" s="16"/>
    </x:row>
    <x:row r="174">
      <x:c r="A174" s="16"/>
      <x:c r="B174" s="16"/>
      <x:c r="C174" s="16"/>
      <x:c r="D174" s="16"/>
      <x:c r="E174" s="16"/>
      <x:c r="F174" s="16"/>
      <x:c r="G174" s="16"/>
      <x:c r="H174" s="16"/>
      <x:c r="I174" s="16"/>
      <x:c r="J174" s="16"/>
      <x:c r="K174" s="16"/>
      <x:c r="L174" s="16"/>
      <x:c r="M174" s="16"/>
      <x:c r="N174" s="16"/>
      <x:c r="O174" s="16"/>
      <x:c r="P174" s="16"/>
      <x:c r="Q174" s="16"/>
      <x:c r="R174" s="16"/>
      <x:c r="S174" s="16"/>
      <x:c r="T174" s="16"/>
      <x:c r="U174" s="16"/>
      <x:c r="V174" s="16"/>
      <x:c r="W174" s="16"/>
      <x:c r="X174" s="16"/>
      <x:c r="Y174" s="16"/>
    </x:row>
    <x:row r="175">
      <x:c r="A175" s="16"/>
      <x:c r="B175" s="16"/>
      <x:c r="C175" s="16"/>
      <x:c r="D175" s="16"/>
      <x:c r="E175" s="16"/>
      <x:c r="F175" s="16"/>
      <x:c r="G175" s="16"/>
      <x:c r="H175" s="16"/>
      <x:c r="I175" s="16"/>
      <x:c r="J175" s="16"/>
      <x:c r="K175" s="16"/>
      <x:c r="L175" s="16"/>
      <x:c r="M175" s="16"/>
      <x:c r="N175" s="16"/>
      <x:c r="O175" s="16"/>
      <x:c r="P175" s="16"/>
      <x:c r="Q175" s="16"/>
      <x:c r="R175" s="16"/>
      <x:c r="S175" s="16"/>
      <x:c r="T175" s="16"/>
      <x:c r="U175" s="16"/>
      <x:c r="V175" s="16"/>
      <x:c r="W175" s="16"/>
      <x:c r="X175" s="16"/>
      <x:c r="Y175" s="16"/>
    </x:row>
    <x:row r="176">
      <x:c r="A176" s="16"/>
      <x:c r="B176" s="16"/>
      <x:c r="C176" s="16"/>
      <x:c r="D176" s="16"/>
      <x:c r="E176" s="16"/>
      <x:c r="F176" s="16"/>
      <x:c r="G176" s="16"/>
      <x:c r="H176" s="16"/>
      <x:c r="I176" s="16"/>
      <x:c r="J176" s="16"/>
      <x:c r="K176" s="16"/>
      <x:c r="L176" s="16"/>
      <x:c r="M176" s="16"/>
      <x:c r="N176" s="16"/>
      <x:c r="O176" s="16"/>
      <x:c r="P176" s="16"/>
      <x:c r="Q176" s="16"/>
      <x:c r="R176" s="16"/>
      <x:c r="S176" s="16"/>
      <x:c r="T176" s="16"/>
      <x:c r="U176" s="16"/>
      <x:c r="V176" s="16"/>
      <x:c r="W176" s="16"/>
      <x:c r="X176" s="16"/>
      <x:c r="Y176" s="16"/>
    </x:row>
    <x:row r="177">
      <x:c r="A177" s="16"/>
      <x:c r="B177" s="16"/>
      <x:c r="C177" s="16"/>
      <x:c r="D177" s="16"/>
      <x:c r="E177" s="16"/>
      <x:c r="F177" s="16"/>
      <x:c r="G177" s="16"/>
      <x:c r="H177" s="16"/>
      <x:c r="I177" s="16"/>
      <x:c r="J177" s="16"/>
      <x:c r="K177" s="16"/>
      <x:c r="L177" s="16"/>
      <x:c r="M177" s="16"/>
      <x:c r="N177" s="16"/>
      <x:c r="O177" s="16"/>
      <x:c r="P177" s="16"/>
      <x:c r="Q177" s="16"/>
      <x:c r="R177" s="16"/>
      <x:c r="S177" s="16"/>
      <x:c r="T177" s="16"/>
      <x:c r="U177" s="16"/>
      <x:c r="V177" s="16"/>
      <x:c r="W177" s="16"/>
      <x:c r="X177" s="16"/>
      <x:c r="Y177" s="16"/>
    </x:row>
    <x:row r="178">
      <x:c r="A178" s="16"/>
      <x:c r="B178" s="16"/>
      <x:c r="C178" s="16"/>
      <x:c r="D178" s="16"/>
      <x:c r="E178" s="16"/>
      <x:c r="F178" s="16"/>
      <x:c r="G178" s="16"/>
      <x:c r="H178" s="16"/>
      <x:c r="I178" s="16"/>
      <x:c r="J178" s="16"/>
      <x:c r="K178" s="16"/>
      <x:c r="L178" s="16"/>
      <x:c r="M178" s="16"/>
      <x:c r="N178" s="16"/>
      <x:c r="O178" s="16"/>
      <x:c r="P178" s="16"/>
      <x:c r="Q178" s="16"/>
      <x:c r="R178" s="16"/>
      <x:c r="S178" s="16"/>
      <x:c r="T178" s="16"/>
      <x:c r="U178" s="16"/>
      <x:c r="V178" s="16"/>
      <x:c r="W178" s="16"/>
      <x:c r="X178" s="16"/>
      <x:c r="Y178" s="16"/>
    </x:row>
    <x:row r="179">
      <x:c r="A179" s="16"/>
      <x:c r="B179" s="16"/>
      <x:c r="C179" s="16"/>
      <x:c r="D179" s="16"/>
      <x:c r="E179" s="16"/>
      <x:c r="F179" s="16"/>
      <x:c r="G179" s="16"/>
      <x:c r="H179" s="16"/>
      <x:c r="I179" s="16"/>
      <x:c r="J179" s="16"/>
      <x:c r="K179" s="16"/>
      <x:c r="L179" s="16"/>
      <x:c r="M179" s="16"/>
      <x:c r="N179" s="16"/>
      <x:c r="O179" s="16"/>
      <x:c r="P179" s="16"/>
      <x:c r="Q179" s="16"/>
      <x:c r="R179" s="16"/>
      <x:c r="S179" s="16"/>
      <x:c r="T179" s="16"/>
      <x:c r="U179" s="16"/>
      <x:c r="V179" s="16"/>
      <x:c r="W179" s="16"/>
      <x:c r="X179" s="16"/>
      <x:c r="Y179" s="16"/>
    </x:row>
    <x:row r="180">
      <x:c r="A180" s="16"/>
      <x:c r="B180" s="16"/>
      <x:c r="C180" s="16"/>
      <x:c r="D180" s="16"/>
      <x:c r="E180" s="16"/>
      <x:c r="F180" s="16"/>
      <x:c r="G180" s="16"/>
      <x:c r="H180" s="16"/>
      <x:c r="I180" s="16"/>
      <x:c r="J180" s="16"/>
      <x:c r="K180" s="16"/>
      <x:c r="L180" s="16"/>
      <x:c r="M180" s="16"/>
      <x:c r="N180" s="16"/>
      <x:c r="O180" s="16"/>
      <x:c r="P180" s="16"/>
      <x:c r="Q180" s="16"/>
      <x:c r="R180" s="16"/>
      <x:c r="S180" s="16"/>
      <x:c r="T180" s="16"/>
      <x:c r="U180" s="16"/>
      <x:c r="V180" s="16"/>
      <x:c r="W180" s="16"/>
      <x:c r="X180" s="16"/>
      <x:c r="Y180" s="16"/>
    </x:row>
    <x:row r="181">
      <x:c r="A181" s="16"/>
      <x:c r="B181" s="16"/>
      <x:c r="C181" s="16"/>
      <x:c r="D181" s="16"/>
      <x:c r="E181" s="16"/>
      <x:c r="F181" s="16"/>
      <x:c r="G181" s="16"/>
      <x:c r="H181" s="16"/>
      <x:c r="I181" s="16"/>
      <x:c r="J181" s="16"/>
      <x:c r="K181" s="16"/>
      <x:c r="L181" s="16"/>
      <x:c r="M181" s="16"/>
      <x:c r="N181" s="16"/>
      <x:c r="O181" s="16"/>
      <x:c r="P181" s="16"/>
      <x:c r="Q181" s="16"/>
      <x:c r="R181" s="16"/>
      <x:c r="S181" s="16"/>
      <x:c r="T181" s="16"/>
      <x:c r="U181" s="16"/>
      <x:c r="V181" s="16"/>
      <x:c r="W181" s="16"/>
      <x:c r="X181" s="16"/>
      <x:c r="Y181" s="16"/>
    </x:row>
    <x:row r="182">
      <x:c r="A182" s="16"/>
      <x:c r="B182" s="16"/>
      <x:c r="C182" s="16"/>
      <x:c r="D182" s="16"/>
      <x:c r="E182" s="16"/>
      <x:c r="F182" s="16"/>
      <x:c r="G182" s="16"/>
      <x:c r="H182" s="16"/>
      <x:c r="I182" s="16"/>
      <x:c r="J182" s="16"/>
      <x:c r="K182" s="16"/>
      <x:c r="L182" s="16"/>
      <x:c r="M182" s="16"/>
      <x:c r="N182" s="16"/>
      <x:c r="O182" s="16"/>
      <x:c r="P182" s="16"/>
      <x:c r="Q182" s="16"/>
      <x:c r="R182" s="16"/>
      <x:c r="S182" s="16"/>
      <x:c r="T182" s="16"/>
      <x:c r="U182" s="16"/>
      <x:c r="V182" s="16"/>
      <x:c r="W182" s="16"/>
      <x:c r="X182" s="16"/>
      <x:c r="Y182" s="16"/>
    </x:row>
    <x:row r="183">
      <x:c r="A183" s="16"/>
      <x:c r="B183" s="16"/>
      <x:c r="C183" s="16"/>
      <x:c r="D183" s="16"/>
      <x:c r="E183" s="16"/>
      <x:c r="F183" s="16"/>
      <x:c r="G183" s="16"/>
      <x:c r="H183" s="16"/>
      <x:c r="I183" s="16"/>
      <x:c r="J183" s="16"/>
      <x:c r="K183" s="16"/>
      <x:c r="L183" s="16"/>
      <x:c r="M183" s="16"/>
      <x:c r="N183" s="16"/>
      <x:c r="O183" s="16"/>
      <x:c r="P183" s="16"/>
      <x:c r="Q183" s="16"/>
      <x:c r="R183" s="16"/>
      <x:c r="S183" s="16"/>
      <x:c r="T183" s="16"/>
      <x:c r="U183" s="16"/>
      <x:c r="V183" s="16"/>
      <x:c r="W183" s="16"/>
      <x:c r="X183" s="16"/>
      <x:c r="Y183" s="16"/>
    </x:row>
    <x:row r="184">
      <x:c r="A184" s="16"/>
      <x:c r="B184" s="16"/>
      <x:c r="C184" s="16"/>
      <x:c r="D184" s="16"/>
      <x:c r="E184" s="16"/>
      <x:c r="F184" s="16"/>
      <x:c r="G184" s="16"/>
      <x:c r="H184" s="16"/>
      <x:c r="I184" s="16"/>
      <x:c r="J184" s="16"/>
      <x:c r="K184" s="16"/>
      <x:c r="L184" s="16"/>
      <x:c r="M184" s="16"/>
      <x:c r="N184" s="16"/>
      <x:c r="O184" s="16"/>
      <x:c r="P184" s="16"/>
      <x:c r="Q184" s="16"/>
      <x:c r="R184" s="16"/>
      <x:c r="S184" s="16"/>
      <x:c r="T184" s="16"/>
      <x:c r="U184" s="16"/>
      <x:c r="V184" s="16"/>
      <x:c r="W184" s="16"/>
      <x:c r="X184" s="16"/>
      <x:c r="Y184" s="16"/>
    </x:row>
    <x:row r="185">
      <x:c r="A185" s="16"/>
      <x:c r="B185" s="16"/>
      <x:c r="C185" s="16"/>
      <x:c r="D185" s="16"/>
      <x:c r="E185" s="16"/>
      <x:c r="F185" s="16"/>
      <x:c r="G185" s="16"/>
      <x:c r="H185" s="16"/>
      <x:c r="I185" s="16"/>
      <x:c r="J185" s="16"/>
      <x:c r="K185" s="16"/>
      <x:c r="L185" s="16"/>
      <x:c r="M185" s="16"/>
      <x:c r="N185" s="16"/>
      <x:c r="O185" s="16"/>
      <x:c r="P185" s="16"/>
      <x:c r="Q185" s="16"/>
      <x:c r="R185" s="16"/>
      <x:c r="S185" s="16"/>
      <x:c r="T185" s="16"/>
      <x:c r="U185" s="16"/>
      <x:c r="V185" s="16"/>
      <x:c r="W185" s="16"/>
      <x:c r="X185" s="16"/>
      <x:c r="Y185" s="16"/>
    </x:row>
    <x:row r="186">
      <x:c r="A186" s="16"/>
      <x:c r="B186" s="16"/>
      <x:c r="C186" s="16"/>
      <x:c r="D186" s="16"/>
      <x:c r="E186" s="16"/>
      <x:c r="F186" s="16"/>
      <x:c r="G186" s="16"/>
      <x:c r="H186" s="16"/>
      <x:c r="I186" s="16"/>
      <x:c r="J186" s="16"/>
      <x:c r="K186" s="16"/>
      <x:c r="L186" s="16"/>
      <x:c r="M186" s="16"/>
      <x:c r="N186" s="16"/>
      <x:c r="O186" s="16"/>
      <x:c r="P186" s="16"/>
      <x:c r="Q186" s="16"/>
      <x:c r="R186" s="16"/>
      <x:c r="S186" s="16"/>
      <x:c r="T186" s="16"/>
      <x:c r="U186" s="16"/>
      <x:c r="V186" s="16"/>
      <x:c r="W186" s="16"/>
      <x:c r="X186" s="16"/>
      <x:c r="Y186" s="16"/>
    </x:row>
    <x:row r="187">
      <x:c r="A187" s="16"/>
      <x:c r="B187" s="16"/>
      <x:c r="C187" s="16"/>
      <x:c r="D187" s="16"/>
      <x:c r="E187" s="16"/>
      <x:c r="F187" s="16"/>
      <x:c r="G187" s="16"/>
      <x:c r="H187" s="16"/>
      <x:c r="I187" s="16"/>
      <x:c r="J187" s="16"/>
      <x:c r="K187" s="16"/>
      <x:c r="L187" s="16"/>
      <x:c r="M187" s="16"/>
      <x:c r="N187" s="16"/>
      <x:c r="O187" s="16"/>
      <x:c r="P187" s="16"/>
      <x:c r="Q187" s="16"/>
      <x:c r="R187" s="16"/>
      <x:c r="S187" s="16"/>
      <x:c r="T187" s="16"/>
      <x:c r="U187" s="16"/>
      <x:c r="V187" s="16"/>
      <x:c r="W187" s="16"/>
      <x:c r="X187" s="16"/>
      <x:c r="Y187" s="16"/>
    </x:row>
    <x:row r="188">
      <x:c r="A188" s="16"/>
      <x:c r="B188" s="16"/>
      <x:c r="C188" s="16"/>
      <x:c r="D188" s="16"/>
      <x:c r="E188" s="16"/>
      <x:c r="F188" s="16"/>
      <x:c r="G188" s="16"/>
      <x:c r="H188" s="16"/>
      <x:c r="I188" s="16"/>
      <x:c r="J188" s="16"/>
      <x:c r="K188" s="16"/>
      <x:c r="L188" s="16"/>
      <x:c r="M188" s="16"/>
      <x:c r="N188" s="16"/>
      <x:c r="O188" s="16"/>
      <x:c r="P188" s="16"/>
      <x:c r="Q188" s="16"/>
      <x:c r="R188" s="16"/>
      <x:c r="S188" s="16"/>
      <x:c r="T188" s="16"/>
      <x:c r="U188" s="16"/>
      <x:c r="V188" s="16"/>
      <x:c r="W188" s="16"/>
      <x:c r="X188" s="16"/>
      <x:c r="Y188" s="16"/>
    </x:row>
    <x:row r="189">
      <x:c r="A189" s="16"/>
      <x:c r="B189" s="16"/>
      <x:c r="C189" s="16"/>
      <x:c r="D189" s="16"/>
      <x:c r="E189" s="16"/>
      <x:c r="F189" s="16"/>
      <x:c r="G189" s="16"/>
      <x:c r="H189" s="16"/>
      <x:c r="I189" s="16"/>
      <x:c r="J189" s="16"/>
      <x:c r="K189" s="16"/>
      <x:c r="L189" s="16"/>
      <x:c r="M189" s="16"/>
      <x:c r="N189" s="16"/>
      <x:c r="O189" s="16"/>
      <x:c r="P189" s="16"/>
      <x:c r="Q189" s="16"/>
      <x:c r="R189" s="16"/>
      <x:c r="S189" s="16"/>
      <x:c r="T189" s="16"/>
      <x:c r="U189" s="16"/>
      <x:c r="V189" s="16"/>
      <x:c r="W189" s="16"/>
      <x:c r="X189" s="16"/>
      <x:c r="Y189" s="16"/>
    </x:row>
    <x:row r="190">
      <x:c r="A190" s="16"/>
      <x:c r="B190" s="16"/>
      <x:c r="C190" s="16"/>
      <x:c r="D190" s="16"/>
      <x:c r="E190" s="16"/>
      <x:c r="F190" s="16"/>
      <x:c r="G190" s="16"/>
      <x:c r="H190" s="16"/>
      <x:c r="I190" s="16"/>
      <x:c r="J190" s="16"/>
      <x:c r="K190" s="16"/>
      <x:c r="L190" s="16"/>
      <x:c r="M190" s="16"/>
      <x:c r="N190" s="16"/>
      <x:c r="O190" s="16"/>
      <x:c r="P190" s="16"/>
      <x:c r="Q190" s="16"/>
      <x:c r="R190" s="16"/>
      <x:c r="S190" s="16"/>
      <x:c r="T190" s="16"/>
      <x:c r="U190" s="16"/>
      <x:c r="V190" s="16"/>
      <x:c r="W190" s="16"/>
      <x:c r="X190" s="16"/>
      <x:c r="Y190" s="16"/>
    </x:row>
    <x:row r="191">
      <x:c r="A191" s="16"/>
      <x:c r="B191" s="16"/>
      <x:c r="C191" s="16"/>
      <x:c r="D191" s="16"/>
      <x:c r="E191" s="16"/>
      <x:c r="F191" s="16"/>
      <x:c r="G191" s="16"/>
      <x:c r="H191" s="16"/>
      <x:c r="I191" s="16"/>
      <x:c r="J191" s="16"/>
      <x:c r="K191" s="16"/>
      <x:c r="L191" s="16"/>
      <x:c r="M191" s="16"/>
      <x:c r="N191" s="16"/>
      <x:c r="O191" s="16"/>
      <x:c r="P191" s="16"/>
      <x:c r="Q191" s="16"/>
      <x:c r="R191" s="16"/>
      <x:c r="S191" s="16"/>
      <x:c r="T191" s="16"/>
      <x:c r="U191" s="16"/>
      <x:c r="V191" s="16"/>
      <x:c r="W191" s="16"/>
      <x:c r="X191" s="16"/>
      <x:c r="Y191" s="16"/>
    </x:row>
    <x:row r="192">
      <x:c r="A192" s="16"/>
      <x:c r="B192" s="16"/>
      <x:c r="C192" s="16"/>
      <x:c r="D192" s="16"/>
      <x:c r="E192" s="16"/>
      <x:c r="F192" s="16"/>
      <x:c r="G192" s="16"/>
      <x:c r="H192" s="16"/>
      <x:c r="I192" s="16"/>
      <x:c r="J192" s="16"/>
      <x:c r="K192" s="16"/>
      <x:c r="L192" s="16"/>
      <x:c r="M192" s="16"/>
      <x:c r="N192" s="16"/>
      <x:c r="O192" s="16"/>
      <x:c r="P192" s="16"/>
      <x:c r="Q192" s="16"/>
      <x:c r="R192" s="16"/>
      <x:c r="S192" s="16"/>
      <x:c r="T192" s="16"/>
      <x:c r="U192" s="16"/>
      <x:c r="V192" s="16"/>
      <x:c r="W192" s="16"/>
      <x:c r="X192" s="16"/>
      <x:c r="Y192" s="16"/>
    </x:row>
    <x:row r="193">
      <x:c r="A193" s="16"/>
      <x:c r="B193" s="16"/>
      <x:c r="C193" s="16"/>
      <x:c r="D193" s="16"/>
      <x:c r="E193" s="16"/>
      <x:c r="F193" s="16"/>
      <x:c r="G193" s="16"/>
      <x:c r="H193" s="16"/>
      <x:c r="I193" s="16"/>
      <x:c r="J193" s="16"/>
      <x:c r="K193" s="16"/>
      <x:c r="L193" s="16"/>
      <x:c r="M193" s="16"/>
      <x:c r="N193" s="16"/>
      <x:c r="O193" s="16"/>
      <x:c r="P193" s="16"/>
      <x:c r="Q193" s="16"/>
      <x:c r="R193" s="16"/>
      <x:c r="S193" s="16"/>
      <x:c r="T193" s="16"/>
      <x:c r="U193" s="16"/>
      <x:c r="V193" s="16"/>
      <x:c r="W193" s="16"/>
      <x:c r="X193" s="16"/>
      <x:c r="Y193" s="16"/>
    </x:row>
    <x:row r="194">
      <x:c r="A194" s="16"/>
      <x:c r="B194" s="16"/>
      <x:c r="C194" s="16"/>
      <x:c r="D194" s="16"/>
      <x:c r="E194" s="16"/>
      <x:c r="F194" s="16"/>
      <x:c r="G194" s="16"/>
      <x:c r="H194" s="16"/>
      <x:c r="I194" s="16"/>
      <x:c r="J194" s="16"/>
      <x:c r="K194" s="16"/>
      <x:c r="L194" s="16"/>
      <x:c r="M194" s="16"/>
      <x:c r="N194" s="16"/>
      <x:c r="O194" s="16"/>
      <x:c r="P194" s="16"/>
      <x:c r="Q194" s="16"/>
      <x:c r="R194" s="16"/>
      <x:c r="S194" s="16"/>
      <x:c r="T194" s="16"/>
      <x:c r="U194" s="16"/>
      <x:c r="V194" s="16"/>
      <x:c r="W194" s="16"/>
      <x:c r="X194" s="16"/>
      <x:c r="Y194" s="16"/>
    </x:row>
    <x:row r="195">
      <x:c r="A195" s="16"/>
      <x:c r="B195" s="16"/>
      <x:c r="C195" s="16"/>
      <x:c r="D195" s="16"/>
      <x:c r="E195" s="16"/>
      <x:c r="F195" s="16"/>
      <x:c r="G195" s="16"/>
      <x:c r="H195" s="16"/>
      <x:c r="I195" s="16"/>
      <x:c r="J195" s="16"/>
      <x:c r="K195" s="16"/>
      <x:c r="L195" s="16"/>
      <x:c r="M195" s="16"/>
      <x:c r="N195" s="16"/>
      <x:c r="O195" s="16"/>
      <x:c r="P195" s="16"/>
      <x:c r="Q195" s="16"/>
      <x:c r="R195" s="16"/>
      <x:c r="S195" s="16"/>
      <x:c r="T195" s="16"/>
      <x:c r="U195" s="16"/>
      <x:c r="V195" s="16"/>
      <x:c r="W195" s="16"/>
      <x:c r="X195" s="16"/>
      <x:c r="Y195" s="16"/>
    </x:row>
    <x:row r="196">
      <x:c r="A196" s="16"/>
      <x:c r="B196" s="16"/>
      <x:c r="C196" s="16"/>
      <x:c r="D196" s="16"/>
      <x:c r="E196" s="16"/>
      <x:c r="F196" s="16"/>
      <x:c r="G196" s="16"/>
      <x:c r="H196" s="16"/>
      <x:c r="I196" s="16"/>
      <x:c r="J196" s="16"/>
      <x:c r="K196" s="16"/>
      <x:c r="L196" s="16"/>
      <x:c r="M196" s="16"/>
      <x:c r="N196" s="16"/>
      <x:c r="O196" s="16"/>
      <x:c r="P196" s="16"/>
      <x:c r="Q196" s="16"/>
      <x:c r="R196" s="16"/>
      <x:c r="S196" s="16"/>
      <x:c r="T196" s="16"/>
      <x:c r="U196" s="16"/>
      <x:c r="V196" s="16"/>
      <x:c r="W196" s="16"/>
      <x:c r="X196" s="16"/>
      <x:c r="Y196" s="16"/>
    </x:row>
    <x:row r="197">
      <x:c r="A197" s="16"/>
      <x:c r="B197" s="16"/>
      <x:c r="C197" s="16"/>
      <x:c r="D197" s="16"/>
      <x:c r="E197" s="16"/>
      <x:c r="F197" s="16"/>
      <x:c r="G197" s="16"/>
      <x:c r="H197" s="16"/>
      <x:c r="I197" s="16"/>
      <x:c r="J197" s="16"/>
      <x:c r="K197" s="16"/>
      <x:c r="L197" s="16"/>
      <x:c r="M197" s="16"/>
      <x:c r="N197" s="16"/>
      <x:c r="O197" s="16"/>
      <x:c r="P197" s="16"/>
      <x:c r="Q197" s="16"/>
      <x:c r="R197" s="16"/>
      <x:c r="S197" s="16"/>
      <x:c r="T197" s="16"/>
      <x:c r="U197" s="16"/>
      <x:c r="V197" s="16"/>
      <x:c r="W197" s="16"/>
      <x:c r="X197" s="16"/>
      <x:c r="Y197" s="16"/>
    </x:row>
    <x:row r="198">
      <x:c r="A198" s="16"/>
      <x:c r="B198" s="16"/>
      <x:c r="C198" s="16"/>
      <x:c r="D198" s="16"/>
      <x:c r="E198" s="16"/>
      <x:c r="F198" s="16"/>
      <x:c r="G198" s="16"/>
      <x:c r="H198" s="16"/>
      <x:c r="I198" s="16"/>
      <x:c r="J198" s="16"/>
      <x:c r="K198" s="16"/>
      <x:c r="L198" s="16"/>
      <x:c r="M198" s="16"/>
      <x:c r="N198" s="16"/>
      <x:c r="O198" s="16"/>
      <x:c r="P198" s="16"/>
      <x:c r="Q198" s="16"/>
      <x:c r="R198" s="16"/>
      <x:c r="S198" s="16"/>
      <x:c r="T198" s="16"/>
      <x:c r="U198" s="16"/>
      <x:c r="V198" s="16"/>
      <x:c r="W198" s="16"/>
      <x:c r="X198" s="16"/>
      <x:c r="Y198" s="16"/>
    </x:row>
    <x:row r="199">
      <x:c r="A199" s="16"/>
      <x:c r="B199" s="16"/>
      <x:c r="C199" s="16"/>
      <x:c r="D199" s="16"/>
      <x:c r="E199" s="16"/>
      <x:c r="F199" s="16"/>
      <x:c r="G199" s="16"/>
      <x:c r="H199" s="16"/>
      <x:c r="I199" s="16"/>
      <x:c r="J199" s="16"/>
      <x:c r="K199" s="16"/>
      <x:c r="L199" s="16"/>
      <x:c r="M199" s="16"/>
      <x:c r="N199" s="16"/>
      <x:c r="O199" s="16"/>
      <x:c r="P199" s="16"/>
      <x:c r="Q199" s="16"/>
      <x:c r="R199" s="16"/>
      <x:c r="S199" s="16"/>
      <x:c r="T199" s="16"/>
      <x:c r="U199" s="16"/>
      <x:c r="V199" s="16"/>
      <x:c r="W199" s="16"/>
      <x:c r="X199" s="16"/>
      <x:c r="Y199" s="16"/>
    </x:row>
    <x:row r="200">
      <x:c r="A200" s="16"/>
      <x:c r="B200" s="16"/>
      <x:c r="C200" s="16"/>
      <x:c r="D200" s="16"/>
      <x:c r="E200" s="16"/>
      <x:c r="F200" s="16"/>
      <x:c r="G200" s="16"/>
      <x:c r="H200" s="16"/>
      <x:c r="I200" s="16"/>
      <x:c r="J200" s="16"/>
      <x:c r="K200" s="16"/>
      <x:c r="L200" s="16"/>
      <x:c r="M200" s="16"/>
      <x:c r="N200" s="16"/>
      <x:c r="O200" s="16"/>
      <x:c r="P200" s="16"/>
      <x:c r="Q200" s="16"/>
      <x:c r="R200" s="16"/>
      <x:c r="S200" s="16"/>
      <x:c r="T200" s="16"/>
      <x:c r="U200" s="16"/>
      <x:c r="V200" s="16"/>
      <x:c r="W200" s="16"/>
      <x:c r="X200" s="16"/>
      <x:c r="Y200" s="16"/>
    </x:row>
  </x:sheetData>
  <x:pageMargins left="0.7" right="0.7" top="0.75" bottom="0.75" header="0.3" footer="0.3"/>
  <x:tableParts count="1">
    <x:tablePart xmlns:r="http://schemas.openxmlformats.org/officeDocument/2006/relationships" r:id="Rcdc4d718076b401b"/>
  </x:tableParts>
</x:worksheet>
</file>

<file path=xl/worksheets/sheet5.xml><?xml version="1.0" encoding="utf-8"?>
<x:worksheet xmlns:x="http://schemas.openxmlformats.org/spreadsheetml/2006/main">
  <x:sheetFormatPr defaultRowHeight="15"/>
  <x:cols>
    <x:col min="1" max="1" width="14" hidden="0" customWidth="1"/>
    <x:col min="2" max="2" width="17" hidden="0" customWidth="1"/>
    <x:col min="3" max="3" width="24" hidden="0" customWidth="1"/>
    <x:col min="4" max="4" width="16" hidden="0" customWidth="1"/>
    <x:col min="5" max="5" width="42" hidden="0" customWidth="1"/>
    <x:col min="6" max="6" width="9" hidden="0" customWidth="1"/>
    <x:col min="7" max="7" width="22" hidden="0" customWidth="1"/>
    <x:col min="8" max="8" width="22" hidden="0" customWidth="1"/>
    <x:col min="9" max="9" width="30" hidden="0" customWidth="1"/>
    <x:col min="10" max="10" width="18" hidden="0" customWidth="1"/>
    <x:col min="11" max="11" width="28" hidden="0" customWidth="1"/>
    <x:col min="12" max="12" width="18" hidden="0" customWidth="1"/>
    <x:col min="13" max="13" width="34" hidden="0" customWidth="1"/>
    <x:col min="14" max="14" width="34" hidden="0" customWidth="1"/>
    <x:col min="15" max="15" width="25" hidden="0" customWidth="1"/>
    <x:col min="16" max="16" width="38" hidden="0" customWidth="1"/>
    <x:col min="17" max="17" width="38" hidden="0" customWidth="1"/>
    <x:col min="18" max="18" width="12" hidden="0" customWidth="1"/>
    <x:col min="19" max="19" width="26" hidden="0" customWidth="1"/>
    <x:col min="20" max="20" width="16" hidden="0" customWidth="1"/>
    <x:col min="21" max="21" width="20" hidden="0" customWidth="1"/>
    <x:col min="22" max="22" width="20" hidden="0" customWidth="1"/>
    <x:col min="23" max="23" width="22" hidden="0" customWidth="1"/>
    <x:col min="24" max="24" width="32" hidden="0" customWidth="1"/>
    <x:col min="25" max="25" width="16" hidden="0" customWidth="1"/>
  </x:cols>
  <x:sheetData>
    <x:row r="1">
      <x:c r="A1" s="5" t="str">
        <x:v>Record ID</x:v>
      </x:c>
      <x:c r="B1" s="5" t="str">
        <x:v>Evidence Relevance Tier</x:v>
      </x:c>
      <x:c r="C1" s="5" t="str">
        <x:v>Primary Category</x:v>
      </x:c>
      <x:c r="D1" s="5" t="str">
        <x:v>Record Type</x:v>
      </x:c>
      <x:c r="E1" s="5" t="str">
        <x:v>Title / Dataset</x:v>
      </x:c>
      <x:c r="F1" s="5" t="str">
        <x:v>Year</x:v>
      </x:c>
      <x:c r="G1" s="5" t="str">
        <x:v>Primary Authors / Source</x:v>
      </x:c>
      <x:c r="H1" s="5" t="str">
        <x:v>Institution / Dataset Owner</x:v>
      </x:c>
      <x:c r="I1" s="5" t="str">
        <x:v>Modalities / Signals</x:v>
      </x:c>
      <x:c r="J1" s="5" t="str">
        <x:v>Interaction Level</x:v>
      </x:c>
      <x:c r="K1" s="5" t="str">
        <x:v>Task / Paradigm</x:v>
      </x:c>
      <x:c r="L1" s="5" t="str">
        <x:v>Access Status</x:v>
      </x:c>
      <x:c r="M1" s="5" t="str">
        <x:v>Dataset / Access URL</x:v>
      </x:c>
      <x:c r="N1" s="5" t="str">
        <x:v>Paper / Reference URL</x:v>
      </x:c>
      <x:c r="O1" s="5" t="str">
        <x:v>Evidence Role</x:v>
      </x:c>
      <x:c r="P1" s="5" t="str">
        <x:v>Relevance to Synchronized Decision-Making</x:v>
      </x:c>
      <x:c r="Q1" s="5" t="str">
        <x:v>Key Difference vs Proposed ARL Dataset</x:v>
      </x:c>
      <x:c r="R1" s="5" t="str">
        <x:v>Priority</x:v>
      </x:c>
      <x:c r="S1" s="5" t="str">
        <x:v>Verification Status</x:v>
      </x:c>
      <x:c r="T1" s="5" t="str">
        <x:v>Reading Status</x:v>
      </x:c>
      <x:c r="U1" s="5" t="str">
        <x:v>Discovery Method</x:v>
      </x:c>
      <x:c r="V1" s="5" t="str">
        <x:v>Systematic Review Eligibility</x:v>
      </x:c>
      <x:c r="W1" s="5" t="str">
        <x:v>Exclusion Reason</x:v>
      </x:c>
      <x:c r="X1" s="5" t="str">
        <x:v>Notes</x:v>
      </x:c>
      <x:c r="Y1" s="5" t="str">
        <x:v>Source Verified Date</x:v>
      </x:c>
    </x:row>
    <x:row r="2">
      <x:c r="A2" s="16" t="str">
        <x:v>MDMER-0030</x:v>
      </x:c>
      <x:c r="B2" s="16" t="str">
        <x:v>Tier 2</x:v>
      </x:c>
      <x:c r="C2" s="16" t="str">
        <x:v>Affective computing reviews</x:v>
      </x:c>
      <x:c r="D2" s="16" t="str">
        <x:v>Review paper</x:v>
      </x:c>
      <x:c r="E2" s="16" t="str">
        <x:v>A Survey on Databases for Multimodal Emotion Recognition</x:v>
      </x:c>
      <x:c r="F2" s="16" t="n">
        <x:v>2022</x:v>
      </x:c>
      <x:c r="G2" s="16" t="str">
        <x:v>Siddiqui et al.</x:v>
      </x:c>
      <x:c r="H2" s="16" t="str"/>
      <x:c r="I2" s="16" t="str">
        <x:v>Review across audio; video; physiology; text</x:v>
      </x:c>
      <x:c r="J2" s="16" t="str">
        <x:v>Mixed</x:v>
      </x:c>
      <x:c r="K2" s="16" t="str">
        <x:v>Review/taxonomy</x:v>
      </x:c>
      <x:c r="L2" s="16" t="str">
        <x:v>Open</x:v>
      </x:c>
      <x:c r="M2" s="16" t="str">
        <x:v>https://www.mdpi.com/2414-4088/6/6/47</x:v>
      </x:c>
      <x:c r="N2" s="16" t="str">
        <x:v>https://www.mdpi.com/2414-4088/6/6/47</x:v>
      </x:c>
      <x:c r="O2" s="16" t="str">
        <x:v>Background Evidence</x:v>
      </x:c>
      <x:c r="P2" s="16" t="str">
        <x:v>Good source to map dataset landscape.</x:v>
      </x:c>
      <x:c r="Q2" s="16" t="str">
        <x:v>Review only; not specific to decision/social deduction.</x:v>
      </x:c>
      <x:c r="R2" s="16" t="str">
        <x:v>High</x:v>
      </x:c>
      <x:c r="S2" s="16" t="str">
        <x:v>Legacy entry — re-verification required</x:v>
      </x:c>
      <x:c r="T2" s="16" t="str">
        <x:v>Not read</x:v>
      </x:c>
      <x:c r="U2" s="16" t="str">
        <x:v>Existing ARL literature</x:v>
      </x:c>
      <x:c r="V2" s="16" t="str">
        <x:v>Pending</x:v>
      </x:c>
      <x:c r="W2" s="16" t="str"/>
      <x:c r="X2" s="16" t="str">
        <x:v>Can guide expansion beyond 50</x:v>
      </x:c>
      <x:c r="Y2" s="16" t="str"/>
    </x:row>
    <x:row r="3">
      <x:c r="A3" s="16" t="str">
        <x:v>MDMER-0031</x:v>
      </x:c>
      <x:c r="B3" s="16" t="str">
        <x:v>Tier 3</x:v>
      </x:c>
      <x:c r="C3" s="16" t="str">
        <x:v>Decision/social neuroscience</x:v>
      </x:c>
      <x:c r="D3" s="16" t="str">
        <x:v>Review paper</x:v>
      </x:c>
      <x:c r="E3" s="16" t="str">
        <x:v>Hyperscanning: A Valid Method to Study Neural Inter-brain Underpinnings of Social Interaction</x:v>
      </x:c>
      <x:c r="F3" s="16" t="n">
        <x:v>2020</x:v>
      </x:c>
      <x:c r="G3" s="16" t="str">
        <x:v>Czeszumski et al.</x:v>
      </x:c>
      <x:c r="H3" s="16" t="str"/>
      <x:c r="I3" s="16" t="str">
        <x:v>EEG/fNIRS/fMRI hyperscanning methods</x:v>
      </x:c>
      <x:c r="J3" s="16" t="str">
        <x:v>Dyads/groups</x:v>
      </x:c>
      <x:c r="K3" s="16" t="str">
        <x:v>Social interaction review</x:v>
      </x:c>
      <x:c r="L3" s="16" t="str">
        <x:v>Open</x:v>
      </x:c>
      <x:c r="M3" s="16" t="str">
        <x:v>https://www.frontiersin.org/articles/10.3389/fnhum.2020.00039/full</x:v>
      </x:c>
      <x:c r="N3" s="16" t="str">
        <x:v>https://www.frontiersin.org/articles/10.3389/fnhum.2020.00039/full</x:v>
      </x:c>
      <x:c r="O3" s="16" t="str">
        <x:v>Decision-Making Comparator</x:v>
      </x:c>
      <x:c r="P3" s="16" t="str">
        <x:v>Foundational hyperscanning methods and analysis reference.</x:v>
      </x:c>
      <x:c r="Q3" s="16" t="str">
        <x:v>Not a dataset; broader than ARL.</x:v>
      </x:c>
      <x:c r="R3" s="16" t="str">
        <x:v>High</x:v>
      </x:c>
      <x:c r="S3" s="16" t="str">
        <x:v>Legacy entry — re-verification required</x:v>
      </x:c>
      <x:c r="T3" s="16" t="str">
        <x:v>Not read</x:v>
      </x:c>
      <x:c r="U3" s="16" t="str">
        <x:v>Existing ARL literature</x:v>
      </x:c>
      <x:c r="V3" s="16" t="str">
        <x:v>Pending</x:v>
      </x:c>
      <x:c r="W3" s="16" t="str"/>
      <x:c r="X3" s="16" t="str">
        <x:v>Use in theoretical framing</x:v>
      </x:c>
      <x:c r="Y3" s="16" t="str"/>
    </x:row>
    <x:row r="4">
      <x:c r="A4" s="16" t="str">
        <x:v>MDMER-0032</x:v>
      </x:c>
      <x:c r="B4" s="16" t="str">
        <x:v>Tier 3</x:v>
      </x:c>
      <x:c r="C4" s="16" t="str">
        <x:v>Decision/social neuroscience</x:v>
      </x:c>
      <x:c r="D4" s="16" t="str">
        <x:v>Review paper</x:v>
      </x:c>
      <x:c r="E4" s="16" t="str">
        <x:v>Review and Progress on EEG-Based Hyperscanning in Social Interactions</x:v>
      </x:c>
      <x:c r="F4" s="16" t="n">
        <x:v>2018</x:v>
      </x:c>
      <x:c r="G4" s="16" t="str">
        <x:v>Liu et al.</x:v>
      </x:c>
      <x:c r="H4" s="16" t="str"/>
      <x:c r="I4" s="16" t="str">
        <x:v>EEG hyperscanning</x:v>
      </x:c>
      <x:c r="J4" s="16" t="str">
        <x:v>Dyads/groups</x:v>
      </x:c>
      <x:c r="K4" s="16" t="str">
        <x:v>Social interaction review</x:v>
      </x:c>
      <x:c r="L4" s="16" t="str">
        <x:v>Open</x:v>
      </x:c>
      <x:c r="M4" s="16" t="str">
        <x:v>https://pmc.ncbi.nlm.nih.gov/articles/PMC6186988/</x:v>
      </x:c>
      <x:c r="N4" s="16" t="str">
        <x:v>https://pmc.ncbi.nlm.nih.gov/articles/PMC6186988/</x:v>
      </x:c>
      <x:c r="O4" s="16" t="str">
        <x:v>Decision-Making Comparator</x:v>
      </x:c>
      <x:c r="P4" s="16" t="str">
        <x:v>Directly supports multi-person EEG framing.</x:v>
      </x:c>
      <x:c r="Q4" s="16" t="str">
        <x:v>Not multimodal dataset-specific.</x:v>
      </x:c>
      <x:c r="R4" s="16" t="str">
        <x:v>High</x:v>
      </x:c>
      <x:c r="S4" s="16" t="str">
        <x:v>Legacy entry — re-verification required</x:v>
      </x:c>
      <x:c r="T4" s="16" t="str">
        <x:v>Not read</x:v>
      </x:c>
      <x:c r="U4" s="16" t="str">
        <x:v>Existing ARL literature</x:v>
      </x:c>
      <x:c r="V4" s="16" t="str">
        <x:v>Pending</x:v>
      </x:c>
      <x:c r="W4" s="16" t="str"/>
      <x:c r="X4" s="16" t="str">
        <x:v>Use for multi-brain rationale</x:v>
      </x:c>
      <x:c r="Y4" s="16" t="str"/>
    </x:row>
    <x:row r="5">
      <x:c r="A5" s="16" t="str">
        <x:v>MDMER-0033</x:v>
      </x:c>
      <x:c r="B5" s="16" t="str">
        <x:v>Tier 3</x:v>
      </x:c>
      <x:c r="C5" s="16" t="str">
        <x:v>Decision/social neuroscience</x:v>
      </x:c>
      <x:c r="D5" s="16" t="str">
        <x:v>Review paper</x:v>
      </x:c>
      <x:c r="E5" s="16" t="str">
        <x:v>Cooperation and Competition with Hyperscanning Methods</x:v>
      </x:c>
      <x:c r="F5" s="16" t="n">
        <x:v>2017</x:v>
      </x:c>
      <x:c r="G5" s="16" t="str">
        <x:v>Balconi &amp; Vanutelli</x:v>
      </x:c>
      <x:c r="H5" s="16" t="str"/>
      <x:c r="I5" s="16" t="str">
        <x:v>EEG/fNIRS hyperscanning</x:v>
      </x:c>
      <x:c r="J5" s="16" t="str">
        <x:v>Dyads/groups</x:v>
      </x:c>
      <x:c r="K5" s="16" t="str">
        <x:v>Cooperation/competition review</x:v>
      </x:c>
      <x:c r="L5" s="16" t="str">
        <x:v>Open</x:v>
      </x:c>
      <x:c r="M5" s="16" t="str">
        <x:v>https://www.frontiersin.org/articles/10.3389/fncom.2017.00086/full</x:v>
      </x:c>
      <x:c r="N5" s="16" t="str">
        <x:v>https://www.frontiersin.org/articles/10.3389/fncom.2017.00086/full</x:v>
      </x:c>
      <x:c r="O5" s="16" t="str">
        <x:v>Decision-Making Comparator</x:v>
      </x:c>
      <x:c r="P5" s="16" t="str">
        <x:v>Relevant to cooperation/competition dynamics in spy game.</x:v>
      </x:c>
      <x:c r="Q5" s="16" t="str">
        <x:v>Review only; no ARL-like multimodal release.</x:v>
      </x:c>
      <x:c r="R5" s="16" t="str">
        <x:v>Medium</x:v>
      </x:c>
      <x:c r="S5" s="16" t="str">
        <x:v>Legacy entry — re-verification required</x:v>
      </x:c>
      <x:c r="T5" s="16" t="str">
        <x:v>Not read</x:v>
      </x:c>
      <x:c r="U5" s="16" t="str">
        <x:v>Existing ARL literature</x:v>
      </x:c>
      <x:c r="V5" s="16" t="str">
        <x:v>Pending</x:v>
      </x:c>
      <x:c r="W5" s="16" t="str"/>
      <x:c r="X5" s="16" t="str">
        <x:v>Useful for discussion</x:v>
      </x:c>
      <x:c r="Y5" s="16" t="str"/>
    </x:row>
    <x:row r="6">
      <x:c r="A6" s="16" t="str">
        <x:v>MDMER-0040</x:v>
      </x:c>
      <x:c r="B6" s="16" t="str">
        <x:v>Tier 3</x:v>
      </x:c>
      <x:c r="C6" s="16" t="str">
        <x:v>Decision/social neuroscience</x:v>
      </x:c>
      <x:c r="D6" s="16" t="str">
        <x:v>Theory/review paper</x:v>
      </x:c>
      <x:c r="E6" s="16" t="str">
        <x:v>Dual-Process and Decision-Making Under Uncertainty Literature Anchor</x:v>
      </x:c>
      <x:c r="F6" s="16" t="n">
        <x:v>2009</x:v>
      </x:c>
      <x:c r="G6" s="16" t="str">
        <x:v>Evans / Stanovich / Kahneman line</x:v>
      </x:c>
      <x:c r="H6" s="16" t="str"/>
      <x:c r="I6" s="16" t="str">
        <x:v>Behavioral/cognitive theory</x:v>
      </x:c>
      <x:c r="J6" s="16" t="str">
        <x:v>Individual/social</x:v>
      </x:c>
      <x:c r="K6" s="16" t="str">
        <x:v>Uncertainty, reasoning, intuition/control</x:v>
      </x:c>
      <x:c r="L6" s="16" t="str">
        <x:v>Publication only</x:v>
      </x:c>
      <x:c r="M6" s="16" t="str"/>
      <x:c r="N6" s="16" t="str">
        <x:v>https://www.annualreviews.org/content/journals/10.1146/annurev-psych-122216-011832</x:v>
      </x:c>
      <x:c r="O6" s="16" t="str">
        <x:v>Decision-Making Comparator</x:v>
      </x:c>
      <x:c r="P6" s="16" t="str">
        <x:v>Needed theoretical anchor for ARL reasoning/confidence.</x:v>
      </x:c>
      <x:c r="Q6" s="16" t="str">
        <x:v>Not dataset or physiology.</x:v>
      </x:c>
      <x:c r="R6" s="16" t="str">
        <x:v>Medium</x:v>
      </x:c>
      <x:c r="S6" s="16" t="str">
        <x:v>Legacy entry — re-verification required</x:v>
      </x:c>
      <x:c r="T6" s="16" t="str">
        <x:v>To verify</x:v>
      </x:c>
      <x:c r="U6" s="16" t="str">
        <x:v>Existing ARL literature</x:v>
      </x:c>
      <x:c r="V6" s="16" t="str">
        <x:v>Pending</x:v>
      </x:c>
      <x:c r="W6" s="16" t="str"/>
      <x:c r="X6" s="16" t="str">
        <x:v>Replace with exact preferred paper later</x:v>
      </x:c>
      <x:c r="Y6" s="16" t="str"/>
    </x:row>
    <x:row r="7">
      <x:c r="A7" s="16" t="str">
        <x:v>MDMER-0050</x:v>
      </x:c>
      <x:c r="B7" s="16" t="str">
        <x:v>Tier 4</x:v>
      </x:c>
      <x:c r="C7" s="16" t="str">
        <x:v>Acquisition/synchronization</x:v>
      </x:c>
      <x:c r="D7" s="16" t="str">
        <x:v>Standard/spec paper</x:v>
      </x:c>
      <x:c r="E7" s="16" t="str">
        <x:v>Brain Imaging Data Structure (BIDS) and Extensions for EEG/iEEG/physiology</x:v>
      </x:c>
      <x:c r="F7" s="16" t="n">
        <x:v>2016</x:v>
      </x:c>
      <x:c r="G7" s="16" t="str">
        <x:v>Gorgolewski et al. / BIDS community</x:v>
      </x:c>
      <x:c r="H7" s="16" t="str"/>
      <x:c r="I7" s="16" t="str">
        <x:v>Data standard / metadata</x:v>
      </x:c>
      <x:c r="J7" s="16" t="str">
        <x:v>Any</x:v>
      </x:c>
      <x:c r="K7" s="16" t="str">
        <x:v>Neuroimaging data organization</x:v>
      </x:c>
      <x:c r="L7" s="16" t="str">
        <x:v>Open</x:v>
      </x:c>
      <x:c r="M7" s="16" t="str">
        <x:v>https://bids.neuroimaging.io/</x:v>
      </x:c>
      <x:c r="N7" s="16" t="str">
        <x:v>https://www.nature.com/articles/sdata201644</x:v>
      </x:c>
      <x:c r="O7" s="16" t="str">
        <x:v>Background Evidence</x:v>
      </x:c>
      <x:c r="P7" s="16" t="str">
        <x:v>Important for ARL dataset organization and metadata standardization.</x:v>
      </x:c>
      <x:c r="Q7" s="16" t="str">
        <x:v>Not a dataset; ARL may need BIDS-inspired not fully BIDS.</x:v>
      </x:c>
      <x:c r="R7" s="16" t="str">
        <x:v>High</x:v>
      </x:c>
      <x:c r="S7" s="16" t="str">
        <x:v>Legacy entry — re-verification required</x:v>
      </x:c>
      <x:c r="T7" s="16" t="str">
        <x:v>Not read</x:v>
      </x:c>
      <x:c r="U7" s="16" t="str">
        <x:v>Existing ARL literature</x:v>
      </x:c>
      <x:c r="V7" s="16" t="str">
        <x:v>Pending</x:v>
      </x:c>
      <x:c r="W7" s="16" t="str"/>
      <x:c r="X7" s="16" t="str">
        <x:v>Must consider for Scientific Data release</x:v>
      </x:c>
      <x:c r="Y7" s="16" t="str"/>
    </x:row>
    <x:row r="8">
      <x:c r="A8" s="16" t="str">
        <x:v>MDMER-0121</x:v>
      </x:c>
      <x:c r="B8" s="16" t="str">
        <x:v>Tier 1</x:v>
      </x:c>
      <x:c r="C8" s="16" t="str">
        <x:v>Social/group neuroscience</x:v>
      </x:c>
      <x:c r="D8" s="16" t="str">
        <x:v>Review</x:v>
      </x:c>
      <x:c r="E8" s="16" t="str">
        <x:v>Interpersonal Autonomic Physiology: A Systematic Review of the Literature</x:v>
      </x:c>
      <x:c r="F8" s="16" t="n">
        <x:v>2017</x:v>
      </x:c>
      <x:c r="G8" s="16" t="str">
        <x:v>Palumbo et al.</x:v>
      </x:c>
      <x:c r="H8" s="16" t="str"/>
      <x:c r="I8" s="16" t="str">
        <x:v>ECG; EDA; respiration; autonomic signals</x:v>
      </x:c>
      <x:c r="J8" s="16" t="str">
        <x:v>Dyads/groups</x:v>
      </x:c>
      <x:c r="K8" s="16" t="str">
        <x:v>Social interaction</x:v>
      </x:c>
      <x:c r="L8" s="16" t="str">
        <x:v>Article</x:v>
      </x:c>
      <x:c r="M8" s="16" t="str"/>
      <x:c r="N8" s="16" t="str">
        <x:v>https://scholar.google.com/scholar?q=Interpersonal+autonomic+physiology+a+systematic+review+of+the+literature</x:v>
      </x:c>
      <x:c r="O8" s="16" t="str">
        <x:v>Background evidence</x:v>
      </x:c>
      <x:c r="P8" s="16" t="str">
        <x:v>Core review for peripheral physiological synchrony.</x:v>
      </x:c>
      <x:c r="Q8" s="16" t="str">
        <x:v>Requires structured comparison against ARL sensing, interaction, decision, and synchronization features.</x:v>
      </x:c>
      <x:c r="R8" s="16" t="str">
        <x:v>Must read</x:v>
      </x:c>
      <x:c r="S8" s="16" t="str">
        <x:v>Candidate — needs primary-source verification</x:v>
      </x:c>
      <x:c r="T8" s="16" t="str">
        <x:v>Not read</x:v>
      </x:c>
      <x:c r="U8" s="16" t="str">
        <x:v>Targeted literature expansion</x:v>
      </x:c>
      <x:c r="V8" s="16" t="str">
        <x:v>Pending</x:v>
      </x:c>
      <x:c r="W8" s="16" t="str"/>
      <x:c r="X8" s="16" t="str">
        <x:v>Added during expansion from 50 to 150 records.</x:v>
      </x:c>
      <x:c r="Y8" s="16" t="str"/>
    </x:row>
    <x:row r="9">
      <x:c r="A9" s="16" t="str">
        <x:v>MDMER-0122</x:v>
      </x:c>
      <x:c r="B9" s="16" t="str">
        <x:v>Tier 2</x:v>
      </x:c>
      <x:c r="C9" s="16" t="str">
        <x:v>Social/group neuroscience</x:v>
      </x:c>
      <x:c r="D9" s="16" t="str">
        <x:v>Review</x:v>
      </x:c>
      <x:c r="E9" s="16" t="str">
        <x:v>The Neuroscience of Hyperscanning</x:v>
      </x:c>
      <x:c r="F9" s="16" t="n">
        <x:v>2012</x:v>
      </x:c>
      <x:c r="G9" s="16" t="str">
        <x:v>Babiloni &amp; Astolfi</x:v>
      </x:c>
      <x:c r="H9" s="16" t="str"/>
      <x:c r="I9" s="16" t="str">
        <x:v>EEG/fNIRS/fMRI hyperscanning</x:v>
      </x:c>
      <x:c r="J9" s="16" t="str">
        <x:v>Multi-person</x:v>
      </x:c>
      <x:c r="K9" s="16" t="str">
        <x:v>Social interaction</x:v>
      </x:c>
      <x:c r="L9" s="16" t="str">
        <x:v>Article</x:v>
      </x:c>
      <x:c r="M9" s="16" t="str"/>
      <x:c r="N9" s="16" t="str">
        <x:v>https://scholar.google.com/scholar?q=Social+neuroscience+and+hyperscanning+techniques+past+present+and+future</x:v>
      </x:c>
      <x:c r="O9" s="16" t="str">
        <x:v>Background evidence</x:v>
      </x:c>
      <x:c r="P9" s="16" t="str">
        <x:v>Foundational methods review.</x:v>
      </x:c>
      <x:c r="Q9" s="16" t="str">
        <x:v>Requires structured comparison against ARL sensing, interaction, decision, and synchronization features.</x:v>
      </x:c>
      <x:c r="R9" s="16" t="str">
        <x:v>High</x:v>
      </x:c>
      <x:c r="S9" s="16" t="str">
        <x:v>Candidate — needs primary-source verification</x:v>
      </x:c>
      <x:c r="T9" s="16" t="str">
        <x:v>Not read</x:v>
      </x:c>
      <x:c r="U9" s="16" t="str">
        <x:v>Targeted literature expansion</x:v>
      </x:c>
      <x:c r="V9" s="16" t="str">
        <x:v>Pending</x:v>
      </x:c>
      <x:c r="W9" s="16" t="str"/>
      <x:c r="X9" s="16" t="str">
        <x:v>Added during expansion from 50 to 150 records.</x:v>
      </x:c>
      <x:c r="Y9" s="16" t="str"/>
    </x:row>
    <x:row r="10">
      <x:c r="A10" s="16" t="str">
        <x:v>MDMER-0123</x:v>
      </x:c>
      <x:c r="B10" s="16" t="str">
        <x:v>Tier 1</x:v>
      </x:c>
      <x:c r="C10" s="16" t="str">
        <x:v>Social/group neuroscience</x:v>
      </x:c>
      <x:c r="D10" s="16" t="str">
        <x:v>Review</x:v>
      </x:c>
      <x:c r="E10" s="16" t="str">
        <x:v>Hyperscanning: A Review of Methods and Applications</x:v>
      </x:c>
      <x:c r="F10" s="16" t="n">
        <x:v>2019</x:v>
      </x:c>
      <x:c r="G10" s="16" t="str">
        <x:v>Czeszumski et al.</x:v>
      </x:c>
      <x:c r="H10" s="16" t="str"/>
      <x:c r="I10" s="16" t="str">
        <x:v>EEG; fNIRS; fMRI</x:v>
      </x:c>
      <x:c r="J10" s="16" t="str">
        <x:v>Dyads/groups</x:v>
      </x:c>
      <x:c r="K10" s="16" t="str">
        <x:v>Social interaction</x:v>
      </x:c>
      <x:c r="L10" s="16" t="str">
        <x:v>Article</x:v>
      </x:c>
      <x:c r="M10" s="16" t="str"/>
      <x:c r="N10" s="16" t="str">
        <x:v>https://scholar.google.com/scholar?q=Hyperscanning+what+do+we+know+and+what+do+we+need+to+know+Czeszumski</x:v>
      </x:c>
      <x:c r="O10" s="16" t="str">
        <x:v>Background evidence</x:v>
      </x:c>
      <x:c r="P10" s="16" t="str">
        <x:v>Methodological guide for multi-person neurophysiology.</x:v>
      </x:c>
      <x:c r="Q10" s="16" t="str">
        <x:v>Requires structured comparison against ARL sensing, interaction, decision, and synchronization features.</x:v>
      </x:c>
      <x:c r="R10" s="16" t="str">
        <x:v>Must read</x:v>
      </x:c>
      <x:c r="S10" s="16" t="str">
        <x:v>Candidate — needs primary-source verification</x:v>
      </x:c>
      <x:c r="T10" s="16" t="str">
        <x:v>Not read</x:v>
      </x:c>
      <x:c r="U10" s="16" t="str">
        <x:v>Targeted literature expansion</x:v>
      </x:c>
      <x:c r="V10" s="16" t="str">
        <x:v>Pending</x:v>
      </x:c>
      <x:c r="W10" s="16" t="str"/>
      <x:c r="X10" s="16" t="str">
        <x:v>Added during expansion from 50 to 150 records.</x:v>
      </x:c>
      <x:c r="Y10" s="16" t="str"/>
    </x:row>
    <x:row r="11">
      <x:c r="A11" s="16" t="str">
        <x:v>MDMER-0135</x:v>
      </x:c>
      <x:c r="B11" s="16" t="str">
        <x:v>Tier 3</x:v>
      </x:c>
      <x:c r="C11" s="16" t="str">
        <x:v>Deception and trust</x:v>
      </x:c>
      <x:c r="D11" s="16" t="str">
        <x:v>Review</x:v>
      </x:c>
      <x:c r="E11" s="16" t="str">
        <x:v>Neuroscience of Deception: A Review</x:v>
      </x:c>
      <x:c r="F11" s="16" t="n">
        <x:v>2011</x:v>
      </x:c>
      <x:c r="G11" s="16" t="str">
        <x:v>Sip et al.</x:v>
      </x:c>
      <x:c r="H11" s="16" t="str"/>
      <x:c r="I11" s="16" t="str">
        <x:v>EEG/fMRI/autonomic</x:v>
      </x:c>
      <x:c r="J11" s="16" t="str">
        <x:v>Individual</x:v>
      </x:c>
      <x:c r="K11" s="16" t="str">
        <x:v>Deception</x:v>
      </x:c>
      <x:c r="L11" s="16" t="str">
        <x:v>Article</x:v>
      </x:c>
      <x:c r="M11" s="16" t="str"/>
      <x:c r="N11" s="16" t="str">
        <x:v>https://scholar.google.com/scholar?q=Detecting+deception+a+review+of+neuroscience+Sip</x:v>
      </x:c>
      <x:c r="O11" s="16" t="str">
        <x:v>Background evidence</x:v>
      </x:c>
      <x:c r="P11" s="16" t="str">
        <x:v>Core theoretical review for deception constructs.</x:v>
      </x:c>
      <x:c r="Q11" s="16" t="str">
        <x:v>Requires structured comparison against ARL sensing, interaction, decision, and synchronization features.</x:v>
      </x:c>
      <x:c r="R11" s="16" t="str">
        <x:v>High</x:v>
      </x:c>
      <x:c r="S11" s="16" t="str">
        <x:v>Candidate — needs primary-source verification</x:v>
      </x:c>
      <x:c r="T11" s="16" t="str">
        <x:v>Not read</x:v>
      </x:c>
      <x:c r="U11" s="16" t="str">
        <x:v>Targeted literature expansion</x:v>
      </x:c>
      <x:c r="V11" s="16" t="str">
        <x:v>Pending</x:v>
      </x:c>
      <x:c r="W11" s="16" t="str"/>
      <x:c r="X11" s="16" t="str">
        <x:v>Added during expansion from 50 to 150 records.</x:v>
      </x:c>
      <x:c r="Y11" s="16" t="str"/>
    </x:row>
    <x:row r="12">
      <x:c r="A12" s="16" t="str">
        <x:v>MDMER-0144</x:v>
      </x:c>
      <x:c r="B12" s="16" t="str">
        <x:v>Tier 1</x:v>
      </x:c>
      <x:c r="C12" s="16" t="str">
        <x:v>Deception and trust</x:v>
      </x:c>
      <x:c r="D12" s="16" t="str">
        <x:v>Review</x:v>
      </x:c>
      <x:c r="E12" s="16" t="str">
        <x:v>Deception Detection Using Physiological and Behavioral Signals: A Review</x:v>
      </x:c>
      <x:c r="F12" s="16" t="n">
        <x:v>2020</x:v>
      </x:c>
      <x:c r="G12" s="16" t="str">
        <x:v>Multiple authors</x:v>
      </x:c>
      <x:c r="H12" s="16" t="str"/>
      <x:c r="I12" s="16" t="str">
        <x:v>EEG; ECG; EDA; eye gaze; audio; video</x:v>
      </x:c>
      <x:c r="J12" s="16" t="str">
        <x:v>Various</x:v>
      </x:c>
      <x:c r="K12" s="16" t="str">
        <x:v>Deception</x:v>
      </x:c>
      <x:c r="L12" s="16" t="str">
        <x:v>Article</x:v>
      </x:c>
      <x:c r="M12" s="16" t="str"/>
      <x:c r="N12" s="16" t="str">
        <x:v>https://scholar.google.com/scholar?q=deception+detection+physiological+behavioral+signals+review+EEG+ECG+EDA+gaze</x:v>
      </x:c>
      <x:c r="O12" s="16" t="str">
        <x:v>Background evidence</x:v>
      </x:c>
      <x:c r="P12" s="16" t="str">
        <x:v>Helps position multimodal deception sensing landscape.</x:v>
      </x:c>
      <x:c r="Q12" s="16" t="str">
        <x:v>Requires structured comparison against ARL sensing, interaction, decision, and synchronization features.</x:v>
      </x:c>
      <x:c r="R12" s="16" t="str">
        <x:v>Must read</x:v>
      </x:c>
      <x:c r="S12" s="16" t="str">
        <x:v>Candidate — needs primary-source verification</x:v>
      </x:c>
      <x:c r="T12" s="16" t="str">
        <x:v>Not read</x:v>
      </x:c>
      <x:c r="U12" s="16" t="str">
        <x:v>Targeted literature expansion</x:v>
      </x:c>
      <x:c r="V12" s="16" t="str">
        <x:v>Pending</x:v>
      </x:c>
      <x:c r="W12" s="16" t="str"/>
      <x:c r="X12" s="16" t="str">
        <x:v>Added during expansion from 50 to 150 records.</x:v>
      </x:c>
      <x:c r="Y12" s="16" t="str"/>
    </x:row>
    <x:row r="13">
      <x:c r="A13" s="16" t="str">
        <x:v>MDMER-0145</x:v>
      </x:c>
      <x:c r="B13" s="16" t="str">
        <x:v>Tier 5</x:v>
      </x:c>
      <x:c r="C13" s="16" t="str">
        <x:v>Acquisition and synchronization</x:v>
      </x:c>
      <x:c r="D13" s="16" t="str">
        <x:v>Methods paper</x:v>
      </x:c>
      <x:c r="E13" s="16" t="str">
        <x:v>Mobile Brain/Body Imaging (MoBI): New Frontiers in Neuroimaging</x:v>
      </x:c>
      <x:c r="F13" s="16" t="n">
        <x:v>2009</x:v>
      </x:c>
      <x:c r="G13" s="16" t="str">
        <x:v>Makeig et al.</x:v>
      </x:c>
      <x:c r="H13" s="16" t="str"/>
      <x:c r="I13" s="16" t="str">
        <x:v>EEG; motion; behavior</x:v>
      </x:c>
      <x:c r="J13" s="16" t="str">
        <x:v>Individual/social capable</x:v>
      </x:c>
      <x:c r="K13" s="16" t="str">
        <x:v>Mobile naturalistic tasks</x:v>
      </x:c>
      <x:c r="L13" s="16" t="str">
        <x:v>Article</x:v>
      </x:c>
      <x:c r="M13" s="16" t="str"/>
      <x:c r="N13" s="16" t="str">
        <x:v>https://scholar.google.com/scholar?q=Mobile+brain+body+imaging+MoBI+Makeig</x:v>
      </x:c>
      <x:c r="O13" s="16" t="str">
        <x:v>Synchronization comparator</x:v>
      </x:c>
      <x:c r="P13" s="16" t="str">
        <x:v>Foundational multimodal mobile neurophysiology architecture.</x:v>
      </x:c>
      <x:c r="Q13" s="16" t="str">
        <x:v>Requires structured comparison against ARL sensing, interaction, decision, and synchronization features.</x:v>
      </x:c>
      <x:c r="R13" s="16" t="str">
        <x:v>High</x:v>
      </x:c>
      <x:c r="S13" s="16" t="str">
        <x:v>Candidate — needs primary-source verification</x:v>
      </x:c>
      <x:c r="T13" s="16" t="str">
        <x:v>Not read</x:v>
      </x:c>
      <x:c r="U13" s="16" t="str">
        <x:v>Targeted literature expansion</x:v>
      </x:c>
      <x:c r="V13" s="16" t="str">
        <x:v>Pending</x:v>
      </x:c>
      <x:c r="W13" s="16" t="str"/>
      <x:c r="X13" s="16" t="str">
        <x:v>Added during expansion from 50 to 150 records.</x:v>
      </x:c>
      <x:c r="Y13" s="16" t="str"/>
    </x:row>
    <x:row r="14">
      <x:c r="A14" s="16" t="str">
        <x:v>MDMER-0146</x:v>
      </x:c>
      <x:c r="B14" s="16" t="str">
        <x:v>Tier 5</x:v>
      </x:c>
      <x:c r="C14" s="16" t="str">
        <x:v>Acquisition and synchronization</x:v>
      </x:c>
      <x:c r="D14" s="16" t="str">
        <x:v>Methods paper</x:v>
      </x:c>
      <x:c r="E14" s="16" t="str">
        <x:v>EEGLAB: An Open Source Toolbox for Analysis of Single-Trial EEG Dynamics</x:v>
      </x:c>
      <x:c r="F14" s="16" t="n">
        <x:v>2004</x:v>
      </x:c>
      <x:c r="G14" s="16" t="str">
        <x:v>Delorme &amp; Makeig</x:v>
      </x:c>
      <x:c r="H14" s="16" t="str"/>
      <x:c r="I14" s="16" t="str">
        <x:v>EEG; event markers</x:v>
      </x:c>
      <x:c r="J14" s="16" t="str">
        <x:v>N/A</x:v>
      </x:c>
      <x:c r="K14" s="16" t="str">
        <x:v>EEG analysis</x:v>
      </x:c>
      <x:c r="L14" s="16" t="str">
        <x:v>Open source</x:v>
      </x:c>
      <x:c r="M14" s="16" t="str">
        <x:v>https://sccn.ucsd.edu/eeglab/</x:v>
      </x:c>
      <x:c r="N14" s="16" t="str">
        <x:v>https://doi.org/10.1016/j.jneumeth.2003.10.009</x:v>
      </x:c>
      <x:c r="O14" s="16" t="str">
        <x:v>Background evidence</x:v>
      </x:c>
      <x:c r="P14" s="16" t="str">
        <x:v>Core EEG processing infrastructure reference.</x:v>
      </x:c>
      <x:c r="Q14" s="16" t="str">
        <x:v>Requires structured comparison against ARL sensing, interaction, decision, and synchronization features.</x:v>
      </x:c>
      <x:c r="R14" s="16" t="str">
        <x:v>Medium</x:v>
      </x:c>
      <x:c r="S14" s="16" t="str">
        <x:v>Candidate — needs primary-source verification</x:v>
      </x:c>
      <x:c r="T14" s="16" t="str">
        <x:v>Not read</x:v>
      </x:c>
      <x:c r="U14" s="16" t="str">
        <x:v>Targeted literature expansion</x:v>
      </x:c>
      <x:c r="V14" s="16" t="str">
        <x:v>Pending</x:v>
      </x:c>
      <x:c r="W14" s="16" t="str"/>
      <x:c r="X14" s="16" t="str">
        <x:v>Added during expansion from 50 to 150 records.</x:v>
      </x:c>
      <x:c r="Y14" s="16" t="str"/>
    </x:row>
    <x:row r="15">
      <x:c r="A15" s="16" t="str">
        <x:v>MDMER-0147</x:v>
      </x:c>
      <x:c r="B15" s="16" t="str">
        <x:v>Tier 5</x:v>
      </x:c>
      <x:c r="C15" s="16" t="str">
        <x:v>Acquisition and synchronization</x:v>
      </x:c>
      <x:c r="D15" s="16" t="str">
        <x:v>Methods paper</x:v>
      </x:c>
      <x:c r="E15" s="16" t="str">
        <x:v>MNE-Python: Software for Processing MEG and EEG Data</x:v>
      </x:c>
      <x:c r="F15" s="16" t="n">
        <x:v>2013</x:v>
      </x:c>
      <x:c r="G15" s="16" t="str">
        <x:v>Gramfort et al.</x:v>
      </x:c>
      <x:c r="H15" s="16" t="str"/>
      <x:c r="I15" s="16" t="str">
        <x:v>EEG/MEG; multimodal event data</x:v>
      </x:c>
      <x:c r="J15" s="16" t="str">
        <x:v>N/A</x:v>
      </x:c>
      <x:c r="K15" s="16" t="str">
        <x:v>Signal processing</x:v>
      </x:c>
      <x:c r="L15" s="16" t="str">
        <x:v>Open source</x:v>
      </x:c>
      <x:c r="M15" s="16" t="str">
        <x:v>https://mne.tools/</x:v>
      </x:c>
      <x:c r="N15" s="16" t="str">
        <x:v>https://doi.org/10.3389/fnins.2013.00267</x:v>
      </x:c>
      <x:c r="O15" s="16" t="str">
        <x:v>Background evidence</x:v>
      </x:c>
      <x:c r="P15" s="16" t="str">
        <x:v>Potential analysis stack and reproducibility reference.</x:v>
      </x:c>
      <x:c r="Q15" s="16" t="str">
        <x:v>Requires structured comparison against ARL sensing, interaction, decision, and synchronization features.</x:v>
      </x:c>
      <x:c r="R15" s="16" t="str">
        <x:v>Medium</x:v>
      </x:c>
      <x:c r="S15" s="16" t="str">
        <x:v>Candidate — needs primary-source verification</x:v>
      </x:c>
      <x:c r="T15" s="16" t="str">
        <x:v>Not read</x:v>
      </x:c>
      <x:c r="U15" s="16" t="str">
        <x:v>Targeted literature expansion</x:v>
      </x:c>
      <x:c r="V15" s="16" t="str">
        <x:v>Pending</x:v>
      </x:c>
      <x:c r="W15" s="16" t="str"/>
      <x:c r="X15" s="16" t="str">
        <x:v>Added during expansion from 50 to 150 records.</x:v>
      </x:c>
      <x:c r="Y15" s="16" t="str"/>
    </x:row>
    <x:row r="16">
      <x:c r="A16" s="16" t="str">
        <x:v>MDMER-0148</x:v>
      </x:c>
      <x:c r="B16" s="16" t="str">
        <x:v>Tier 1</x:v>
      </x:c>
      <x:c r="C16" s="16" t="str">
        <x:v>Acquisition and synchronization</x:v>
      </x:c>
      <x:c r="D16" s="16" t="str">
        <x:v>Methods paper</x:v>
      </x:c>
      <x:c r="E16" s="16" t="str">
        <x:v>BIDS: A Community Standard for Organizing and Describing Neuroimaging and Behavioral Data</x:v>
      </x:c>
      <x:c r="F16" s="16" t="n">
        <x:v>2016</x:v>
      </x:c>
      <x:c r="G16" s="16" t="str">
        <x:v>Gorgolewski et al.</x:v>
      </x:c>
      <x:c r="H16" s="16" t="str"/>
      <x:c r="I16" s="16" t="str">
        <x:v>Neuroimaging; behavior; metadata</x:v>
      </x:c>
      <x:c r="J16" s="16" t="str">
        <x:v>N/A</x:v>
      </x:c>
      <x:c r="K16" s="16" t="str">
        <x:v>Data organization</x:v>
      </x:c>
      <x:c r="L16" s="16" t="str">
        <x:v>Open standard</x:v>
      </x:c>
      <x:c r="M16" s="16" t="str">
        <x:v>https://bids.neuroimaging.io/</x:v>
      </x:c>
      <x:c r="N16" s="16" t="str">
        <x:v>https://www.nature.com/articles/sdata201644</x:v>
      </x:c>
      <x:c r="O16" s="16" t="str">
        <x:v>Synchronization comparator</x:v>
      </x:c>
      <x:c r="P16" s="16" t="str">
        <x:v>Data organization and metadata standard relevant to public ARL release.</x:v>
      </x:c>
      <x:c r="Q16" s="16" t="str">
        <x:v>Requires structured comparison against ARL sensing, interaction, decision, and synchronization features.</x:v>
      </x:c>
      <x:c r="R16" s="16" t="str">
        <x:v>Must read</x:v>
      </x:c>
      <x:c r="S16" s="16" t="str">
        <x:v>Candidate — needs primary-source verification</x:v>
      </x:c>
      <x:c r="T16" s="16" t="str">
        <x:v>Not read</x:v>
      </x:c>
      <x:c r="U16" s="16" t="str">
        <x:v>Targeted literature expansion</x:v>
      </x:c>
      <x:c r="V16" s="16" t="str">
        <x:v>Pending</x:v>
      </x:c>
      <x:c r="W16" s="16" t="str"/>
      <x:c r="X16" s="16" t="str">
        <x:v>Added during expansion from 50 to 150 records.</x:v>
      </x:c>
      <x:c r="Y16" s="16" t="str"/>
    </x:row>
    <x:row r="17">
      <x:c r="A17" s="16" t="str">
        <x:v>MDMER-0149</x:v>
      </x:c>
      <x:c r="B17" s="16" t="str">
        <x:v>Tier 1</x:v>
      </x:c>
      <x:c r="C17" s="16" t="str">
        <x:v>Acquisition and synchronization</x:v>
      </x:c>
      <x:c r="D17" s="16" t="str">
        <x:v>Methods paper</x:v>
      </x:c>
      <x:c r="E17" s="16" t="str">
        <x:v>EEG-BIDS: An Extension to the Brain Imaging Data Structure for Electroencephalography</x:v>
      </x:c>
      <x:c r="F17" s="16" t="n">
        <x:v>2019</x:v>
      </x:c>
      <x:c r="G17" s="16" t="str">
        <x:v>Pernet et al.</x:v>
      </x:c>
      <x:c r="H17" s="16" t="str"/>
      <x:c r="I17" s="16" t="str">
        <x:v>EEG; events; metadata</x:v>
      </x:c>
      <x:c r="J17" s="16" t="str">
        <x:v>N/A</x:v>
      </x:c>
      <x:c r="K17" s="16" t="str">
        <x:v>EEG data standardization</x:v>
      </x:c>
      <x:c r="L17" s="16" t="str">
        <x:v>Open standard</x:v>
      </x:c>
      <x:c r="M17" s="16" t="str">
        <x:v>https://bids-specification.readthedocs.io/</x:v>
      </x:c>
      <x:c r="N17" s="16" t="str">
        <x:v>https://www.nature.com/articles/sdata2019197</x:v>
      </x:c>
      <x:c r="O17" s="16" t="str">
        <x:v>Synchronization comparator</x:v>
      </x:c>
      <x:c r="P17" s="16" t="str">
        <x:v>Important for structured EEG/event release.</x:v>
      </x:c>
      <x:c r="Q17" s="16" t="str">
        <x:v>Requires structured comparison against ARL sensing, interaction, decision, and synchronization features.</x:v>
      </x:c>
      <x:c r="R17" s="16" t="str">
        <x:v>Must read</x:v>
      </x:c>
      <x:c r="S17" s="16" t="str">
        <x:v>Candidate — needs primary-source verification</x:v>
      </x:c>
      <x:c r="T17" s="16" t="str">
        <x:v>Not read</x:v>
      </x:c>
      <x:c r="U17" s="16" t="str">
        <x:v>Targeted literature expansion</x:v>
      </x:c>
      <x:c r="V17" s="16" t="str">
        <x:v>Pending</x:v>
      </x:c>
      <x:c r="W17" s="16" t="str"/>
      <x:c r="X17" s="16" t="str">
        <x:v>Added during expansion from 50 to 150 records.</x:v>
      </x:c>
      <x:c r="Y17" s="16" t="str"/>
    </x:row>
    <x:row r="18">
      <x:c r="A18" s="16" t="str">
        <x:v>MDMER-0150</x:v>
      </x:c>
      <x:c r="B18" s="16" t="str">
        <x:v>Tier 5</x:v>
      </x:c>
      <x:c r="C18" s="16" t="str">
        <x:v>Acquisition and synchronization</x:v>
      </x:c>
      <x:c r="D18" s="16" t="str">
        <x:v>Methods paper</x:v>
      </x:c>
      <x:c r="E18" s="16" t="str">
        <x:v>Motion-BIDS and Multimodal Behavioral Data Standardization</x:v>
      </x:c>
      <x:c r="F18" s="16" t="n">
        <x:v>2024</x:v>
      </x:c>
      <x:c r="G18" s="16" t="str">
        <x:v>Multiple authors</x:v>
      </x:c>
      <x:c r="H18" s="16" t="str"/>
      <x:c r="I18" s="16" t="str">
        <x:v>Motion; behavior; event data</x:v>
      </x:c>
      <x:c r="J18" s="16" t="str">
        <x:v>N/A</x:v>
      </x:c>
      <x:c r="K18" s="16" t="str">
        <x:v>Data standardization</x:v>
      </x:c>
      <x:c r="L18" s="16" t="str">
        <x:v>Open standard</x:v>
      </x:c>
      <x:c r="M18" s="16" t="str"/>
      <x:c r="N18" s="16" t="str">
        <x:v>https://scholar.google.com/scholar?q=Motion-BIDS+standard+movement+data+BIDS</x:v>
      </x:c>
      <x:c r="O18" s="16" t="str">
        <x:v>Background evidence</x:v>
      </x:c>
      <x:c r="P18" s="16" t="str">
        <x:v>Potential structure for behavioral/motion metadata.</x:v>
      </x:c>
      <x:c r="Q18" s="16" t="str">
        <x:v>Requires structured comparison against ARL sensing, interaction, decision, and synchronization features.</x:v>
      </x:c>
      <x:c r="R18" s="16" t="str">
        <x:v>Low</x:v>
      </x:c>
      <x:c r="S18" s="16" t="str">
        <x:v>Candidate — needs primary-source verification</x:v>
      </x:c>
      <x:c r="T18" s="16" t="str">
        <x:v>Not read</x:v>
      </x:c>
      <x:c r="U18" s="16" t="str">
        <x:v>Targeted literature expansion</x:v>
      </x:c>
      <x:c r="V18" s="16" t="str">
        <x:v>Pending</x:v>
      </x:c>
      <x:c r="W18" s="16" t="str"/>
      <x:c r="X18" s="16" t="str">
        <x:v>Added during expansion from 50 to 150 records.</x:v>
      </x:c>
      <x:c r="Y18" s="16" t="str"/>
    </x:row>
    <x:row r="19">
      <x:c r="A19" s="16"/>
      <x:c r="B19" s="16"/>
      <x:c r="C19" s="16"/>
      <x:c r="D19" s="16"/>
      <x:c r="E19" s="16"/>
      <x:c r="F19" s="16"/>
      <x:c r="G19" s="16"/>
      <x:c r="H19" s="16"/>
      <x:c r="I19" s="16"/>
      <x:c r="J19" s="16"/>
      <x:c r="K19" s="16"/>
      <x:c r="L19" s="16"/>
      <x:c r="M19" s="16"/>
      <x:c r="N19" s="16"/>
      <x:c r="O19" s="16"/>
      <x:c r="P19" s="16"/>
      <x:c r="Q19" s="16"/>
      <x:c r="R19" s="16"/>
      <x:c r="S19" s="16"/>
      <x:c r="T19" s="16"/>
      <x:c r="U19" s="16"/>
      <x:c r="V19" s="16"/>
      <x:c r="W19" s="16"/>
      <x:c r="X19" s="16"/>
      <x:c r="Y19" s="16"/>
    </x:row>
    <x:row r="20">
      <x:c r="A20" s="16"/>
      <x:c r="B20" s="16"/>
      <x:c r="C20" s="16"/>
      <x:c r="D20" s="16"/>
      <x:c r="E20" s="16"/>
      <x:c r="F20" s="16"/>
      <x:c r="G20" s="16"/>
      <x:c r="H20" s="16"/>
      <x:c r="I20" s="16"/>
      <x:c r="J20" s="16"/>
      <x:c r="K20" s="16"/>
      <x:c r="L20" s="16"/>
      <x:c r="M20" s="16"/>
      <x:c r="N20" s="16"/>
      <x:c r="O20" s="16"/>
      <x:c r="P20" s="16"/>
      <x:c r="Q20" s="16"/>
      <x:c r="R20" s="16"/>
      <x:c r="S20" s="16"/>
      <x:c r="T20" s="16"/>
      <x:c r="U20" s="16"/>
      <x:c r="V20" s="16"/>
      <x:c r="W20" s="16"/>
      <x:c r="X20" s="16"/>
      <x:c r="Y20" s="16"/>
    </x:row>
    <x:row r="21">
      <x:c r="A21" s="16"/>
      <x:c r="B21" s="16"/>
      <x:c r="C21" s="16"/>
      <x:c r="D21" s="16"/>
      <x:c r="E21" s="16"/>
      <x:c r="F21" s="16"/>
      <x:c r="G21" s="16"/>
      <x:c r="H21" s="16"/>
      <x:c r="I21" s="16"/>
      <x:c r="J21" s="16"/>
      <x:c r="K21" s="16"/>
      <x:c r="L21" s="16"/>
      <x:c r="M21" s="16"/>
      <x:c r="N21" s="16"/>
      <x:c r="O21" s="16"/>
      <x:c r="P21" s="16"/>
      <x:c r="Q21" s="16"/>
      <x:c r="R21" s="16"/>
      <x:c r="S21" s="16"/>
      <x:c r="T21" s="16"/>
      <x:c r="U21" s="16"/>
      <x:c r="V21" s="16"/>
      <x:c r="W21" s="16"/>
      <x:c r="X21" s="16"/>
      <x:c r="Y21" s="16"/>
    </x:row>
    <x:row r="22">
      <x:c r="A22" s="16"/>
      <x:c r="B22" s="16"/>
      <x:c r="C22" s="16"/>
      <x:c r="D22" s="16"/>
      <x:c r="E22" s="16"/>
      <x:c r="F22" s="16"/>
      <x:c r="G22" s="16"/>
      <x:c r="H22" s="16"/>
      <x:c r="I22" s="16"/>
      <x:c r="J22" s="16"/>
      <x:c r="K22" s="16"/>
      <x:c r="L22" s="16"/>
      <x:c r="M22" s="16"/>
      <x:c r="N22" s="16"/>
      <x:c r="O22" s="16"/>
      <x:c r="P22" s="16"/>
      <x:c r="Q22" s="16"/>
      <x:c r="R22" s="16"/>
      <x:c r="S22" s="16"/>
      <x:c r="T22" s="16"/>
      <x:c r="U22" s="16"/>
      <x:c r="V22" s="16"/>
      <x:c r="W22" s="16"/>
      <x:c r="X22" s="16"/>
      <x:c r="Y22" s="16"/>
    </x:row>
    <x:row r="23">
      <x:c r="A23" s="16"/>
      <x:c r="B23" s="16"/>
      <x:c r="C23" s="16"/>
      <x:c r="D23" s="16"/>
      <x:c r="E23" s="16"/>
      <x:c r="F23" s="16"/>
      <x:c r="G23" s="16"/>
      <x:c r="H23" s="16"/>
      <x:c r="I23" s="16"/>
      <x:c r="J23" s="16"/>
      <x:c r="K23" s="16"/>
      <x:c r="L23" s="16"/>
      <x:c r="M23" s="16"/>
      <x:c r="N23" s="16"/>
      <x:c r="O23" s="16"/>
      <x:c r="P23" s="16"/>
      <x:c r="Q23" s="16"/>
      <x:c r="R23" s="16"/>
      <x:c r="S23" s="16"/>
      <x:c r="T23" s="16"/>
      <x:c r="U23" s="16"/>
      <x:c r="V23" s="16"/>
      <x:c r="W23" s="16"/>
      <x:c r="X23" s="16"/>
      <x:c r="Y23" s="16"/>
    </x:row>
    <x:row r="24">
      <x:c r="A24" s="16"/>
      <x:c r="B24" s="16"/>
      <x:c r="C24" s="16"/>
      <x:c r="D24" s="16"/>
      <x:c r="E24" s="16"/>
      <x:c r="F24" s="16"/>
      <x:c r="G24" s="16"/>
      <x:c r="H24" s="16"/>
      <x:c r="I24" s="16"/>
      <x:c r="J24" s="16"/>
      <x:c r="K24" s="16"/>
      <x:c r="L24" s="16"/>
      <x:c r="M24" s="16"/>
      <x:c r="N24" s="16"/>
      <x:c r="O24" s="16"/>
      <x:c r="P24" s="16"/>
      <x:c r="Q24" s="16"/>
      <x:c r="R24" s="16"/>
      <x:c r="S24" s="16"/>
      <x:c r="T24" s="16"/>
      <x:c r="U24" s="16"/>
      <x:c r="V24" s="16"/>
      <x:c r="W24" s="16"/>
      <x:c r="X24" s="16"/>
      <x:c r="Y24" s="16"/>
    </x:row>
    <x:row r="25">
      <x:c r="A25" s="16"/>
      <x:c r="B25" s="16"/>
      <x:c r="C25" s="16"/>
      <x:c r="D25" s="16"/>
      <x:c r="E25" s="16"/>
      <x:c r="F25" s="16"/>
      <x:c r="G25" s="16"/>
      <x:c r="H25" s="16"/>
      <x:c r="I25" s="16"/>
      <x:c r="J25" s="16"/>
      <x:c r="K25" s="16"/>
      <x:c r="L25" s="16"/>
      <x:c r="M25" s="16"/>
      <x:c r="N25" s="16"/>
      <x:c r="O25" s="16"/>
      <x:c r="P25" s="16"/>
      <x:c r="Q25" s="16"/>
      <x:c r="R25" s="16"/>
      <x:c r="S25" s="16"/>
      <x:c r="T25" s="16"/>
      <x:c r="U25" s="16"/>
      <x:c r="V25" s="16"/>
      <x:c r="W25" s="16"/>
      <x:c r="X25" s="16"/>
      <x:c r="Y25" s="16"/>
    </x:row>
    <x:row r="26">
      <x:c r="A26" s="16"/>
      <x:c r="B26" s="16"/>
      <x:c r="C26" s="16"/>
      <x:c r="D26" s="16"/>
      <x:c r="E26" s="16"/>
      <x:c r="F26" s="16"/>
      <x:c r="G26" s="16"/>
      <x:c r="H26" s="16"/>
      <x:c r="I26" s="16"/>
      <x:c r="J26" s="16"/>
      <x:c r="K26" s="16"/>
      <x:c r="L26" s="16"/>
      <x:c r="M26" s="16"/>
      <x:c r="N26" s="16"/>
      <x:c r="O26" s="16"/>
      <x:c r="P26" s="16"/>
      <x:c r="Q26" s="16"/>
      <x:c r="R26" s="16"/>
      <x:c r="S26" s="16"/>
      <x:c r="T26" s="16"/>
      <x:c r="U26" s="16"/>
      <x:c r="V26" s="16"/>
      <x:c r="W26" s="16"/>
      <x:c r="X26" s="16"/>
      <x:c r="Y26" s="16"/>
    </x:row>
    <x:row r="27">
      <x:c r="A27" s="16"/>
      <x:c r="B27" s="16"/>
      <x:c r="C27" s="16"/>
      <x:c r="D27" s="16"/>
      <x:c r="E27" s="16"/>
      <x:c r="F27" s="16"/>
      <x:c r="G27" s="16"/>
      <x:c r="H27" s="16"/>
      <x:c r="I27" s="16"/>
      <x:c r="J27" s="16"/>
      <x:c r="K27" s="16"/>
      <x:c r="L27" s="16"/>
      <x:c r="M27" s="16"/>
      <x:c r="N27" s="16"/>
      <x:c r="O27" s="16"/>
      <x:c r="P27" s="16"/>
      <x:c r="Q27" s="16"/>
      <x:c r="R27" s="16"/>
      <x:c r="S27" s="16"/>
      <x:c r="T27" s="16"/>
      <x:c r="U27" s="16"/>
      <x:c r="V27" s="16"/>
      <x:c r="W27" s="16"/>
      <x:c r="X27" s="16"/>
      <x:c r="Y27" s="16"/>
    </x:row>
    <x:row r="28">
      <x:c r="A28" s="16"/>
      <x:c r="B28" s="16"/>
      <x:c r="C28" s="16"/>
      <x:c r="D28" s="16"/>
      <x:c r="E28" s="16"/>
      <x:c r="F28" s="16"/>
      <x:c r="G28" s="16"/>
      <x:c r="H28" s="16"/>
      <x:c r="I28" s="16"/>
      <x:c r="J28" s="16"/>
      <x:c r="K28" s="16"/>
      <x:c r="L28" s="16"/>
      <x:c r="M28" s="16"/>
      <x:c r="N28" s="16"/>
      <x:c r="O28" s="16"/>
      <x:c r="P28" s="16"/>
      <x:c r="Q28" s="16"/>
      <x:c r="R28" s="16"/>
      <x:c r="S28" s="16"/>
      <x:c r="T28" s="16"/>
      <x:c r="U28" s="16"/>
      <x:c r="V28" s="16"/>
      <x:c r="W28" s="16"/>
      <x:c r="X28" s="16"/>
      <x:c r="Y28" s="16"/>
    </x:row>
    <x:row r="29">
      <x:c r="A29" s="16"/>
      <x:c r="B29" s="16"/>
      <x:c r="C29" s="16"/>
      <x:c r="D29" s="16"/>
      <x:c r="E29" s="16"/>
      <x:c r="F29" s="16"/>
      <x:c r="G29" s="16"/>
      <x:c r="H29" s="16"/>
      <x:c r="I29" s="16"/>
      <x:c r="J29" s="16"/>
      <x:c r="K29" s="16"/>
      <x:c r="L29" s="16"/>
      <x:c r="M29" s="16"/>
      <x:c r="N29" s="16"/>
      <x:c r="O29" s="16"/>
      <x:c r="P29" s="16"/>
      <x:c r="Q29" s="16"/>
      <x:c r="R29" s="16"/>
      <x:c r="S29" s="16"/>
      <x:c r="T29" s="16"/>
      <x:c r="U29" s="16"/>
      <x:c r="V29" s="16"/>
      <x:c r="W29" s="16"/>
      <x:c r="X29" s="16"/>
      <x:c r="Y29" s="16"/>
    </x:row>
    <x:row r="30">
      <x:c r="A30" s="16"/>
      <x:c r="B30" s="16"/>
      <x:c r="C30" s="16"/>
      <x:c r="D30" s="16"/>
      <x:c r="E30" s="16"/>
      <x:c r="F30" s="16"/>
      <x:c r="G30" s="16"/>
      <x:c r="H30" s="16"/>
      <x:c r="I30" s="16"/>
      <x:c r="J30" s="16"/>
      <x:c r="K30" s="16"/>
      <x:c r="L30" s="16"/>
      <x:c r="M30" s="16"/>
      <x:c r="N30" s="16"/>
      <x:c r="O30" s="16"/>
      <x:c r="P30" s="16"/>
      <x:c r="Q30" s="16"/>
      <x:c r="R30" s="16"/>
      <x:c r="S30" s="16"/>
      <x:c r="T30" s="16"/>
      <x:c r="U30" s="16"/>
      <x:c r="V30" s="16"/>
      <x:c r="W30" s="16"/>
      <x:c r="X30" s="16"/>
      <x:c r="Y30" s="16"/>
    </x:row>
    <x:row r="31">
      <x:c r="A31" s="16"/>
      <x:c r="B31" s="16"/>
      <x:c r="C31" s="16"/>
      <x:c r="D31" s="16"/>
      <x:c r="E31" s="16"/>
      <x:c r="F31" s="16"/>
      <x:c r="G31" s="16"/>
      <x:c r="H31" s="16"/>
      <x:c r="I31" s="16"/>
      <x:c r="J31" s="16"/>
      <x:c r="K31" s="16"/>
      <x:c r="L31" s="16"/>
      <x:c r="M31" s="16"/>
      <x:c r="N31" s="16"/>
      <x:c r="O31" s="16"/>
      <x:c r="P31" s="16"/>
      <x:c r="Q31" s="16"/>
      <x:c r="R31" s="16"/>
      <x:c r="S31" s="16"/>
      <x:c r="T31" s="16"/>
      <x:c r="U31" s="16"/>
      <x:c r="V31" s="16"/>
      <x:c r="W31" s="16"/>
      <x:c r="X31" s="16"/>
      <x:c r="Y31" s="16"/>
    </x:row>
    <x:row r="32">
      <x:c r="A32" s="16"/>
      <x:c r="B32" s="16"/>
      <x:c r="C32" s="16"/>
      <x:c r="D32" s="16"/>
      <x:c r="E32" s="16"/>
      <x:c r="F32" s="16"/>
      <x:c r="G32" s="16"/>
      <x:c r="H32" s="16"/>
      <x:c r="I32" s="16"/>
      <x:c r="J32" s="16"/>
      <x:c r="K32" s="16"/>
      <x:c r="L32" s="16"/>
      <x:c r="M32" s="16"/>
      <x:c r="N32" s="16"/>
      <x:c r="O32" s="16"/>
      <x:c r="P32" s="16"/>
      <x:c r="Q32" s="16"/>
      <x:c r="R32" s="16"/>
      <x:c r="S32" s="16"/>
      <x:c r="T32" s="16"/>
      <x:c r="U32" s="16"/>
      <x:c r="V32" s="16"/>
      <x:c r="W32" s="16"/>
      <x:c r="X32" s="16"/>
      <x:c r="Y32" s="16"/>
    </x:row>
    <x:row r="33">
      <x:c r="A33" s="16"/>
      <x:c r="B33" s="16"/>
      <x:c r="C33" s="16"/>
      <x:c r="D33" s="16"/>
      <x:c r="E33" s="16"/>
      <x:c r="F33" s="16"/>
      <x:c r="G33" s="16"/>
      <x:c r="H33" s="16"/>
      <x:c r="I33" s="16"/>
      <x:c r="J33" s="16"/>
      <x:c r="K33" s="16"/>
      <x:c r="L33" s="16"/>
      <x:c r="M33" s="16"/>
      <x:c r="N33" s="16"/>
      <x:c r="O33" s="16"/>
      <x:c r="P33" s="16"/>
      <x:c r="Q33" s="16"/>
      <x:c r="R33" s="16"/>
      <x:c r="S33" s="16"/>
      <x:c r="T33" s="16"/>
      <x:c r="U33" s="16"/>
      <x:c r="V33" s="16"/>
      <x:c r="W33" s="16"/>
      <x:c r="X33" s="16"/>
      <x:c r="Y33" s="16"/>
    </x:row>
    <x:row r="34">
      <x:c r="A34" s="16"/>
      <x:c r="B34" s="16"/>
      <x:c r="C34" s="16"/>
      <x:c r="D34" s="16"/>
      <x:c r="E34" s="16"/>
      <x:c r="F34" s="16"/>
      <x:c r="G34" s="16"/>
      <x:c r="H34" s="16"/>
      <x:c r="I34" s="16"/>
      <x:c r="J34" s="16"/>
      <x:c r="K34" s="16"/>
      <x:c r="L34" s="16"/>
      <x:c r="M34" s="16"/>
      <x:c r="N34" s="16"/>
      <x:c r="O34" s="16"/>
      <x:c r="P34" s="16"/>
      <x:c r="Q34" s="16"/>
      <x:c r="R34" s="16"/>
      <x:c r="S34" s="16"/>
      <x:c r="T34" s="16"/>
      <x:c r="U34" s="16"/>
      <x:c r="V34" s="16"/>
      <x:c r="W34" s="16"/>
      <x:c r="X34" s="16"/>
      <x:c r="Y34" s="16"/>
    </x:row>
    <x:row r="35">
      <x:c r="A35" s="16"/>
      <x:c r="B35" s="16"/>
      <x:c r="C35" s="16"/>
      <x:c r="D35" s="16"/>
      <x:c r="E35" s="16"/>
      <x:c r="F35" s="16"/>
      <x:c r="G35" s="16"/>
      <x:c r="H35" s="16"/>
      <x:c r="I35" s="16"/>
      <x:c r="J35" s="16"/>
      <x:c r="K35" s="16"/>
      <x:c r="L35" s="16"/>
      <x:c r="M35" s="16"/>
      <x:c r="N35" s="16"/>
      <x:c r="O35" s="16"/>
      <x:c r="P35" s="16"/>
      <x:c r="Q35" s="16"/>
      <x:c r="R35" s="16"/>
      <x:c r="S35" s="16"/>
      <x:c r="T35" s="16"/>
      <x:c r="U35" s="16"/>
      <x:c r="V35" s="16"/>
      <x:c r="W35" s="16"/>
      <x:c r="X35" s="16"/>
      <x:c r="Y35" s="16"/>
    </x:row>
    <x:row r="36">
      <x:c r="A36" s="16"/>
      <x:c r="B36" s="16"/>
      <x:c r="C36" s="16"/>
      <x:c r="D36" s="16"/>
      <x:c r="E36" s="16"/>
      <x:c r="F36" s="16"/>
      <x:c r="G36" s="16"/>
      <x:c r="H36" s="16"/>
      <x:c r="I36" s="16"/>
      <x:c r="J36" s="16"/>
      <x:c r="K36" s="16"/>
      <x:c r="L36" s="16"/>
      <x:c r="M36" s="16"/>
      <x:c r="N36" s="16"/>
      <x:c r="O36" s="16"/>
      <x:c r="P36" s="16"/>
      <x:c r="Q36" s="16"/>
      <x:c r="R36" s="16"/>
      <x:c r="S36" s="16"/>
      <x:c r="T36" s="16"/>
      <x:c r="U36" s="16"/>
      <x:c r="V36" s="16"/>
      <x:c r="W36" s="16"/>
      <x:c r="X36" s="16"/>
      <x:c r="Y36" s="16"/>
    </x:row>
    <x:row r="37">
      <x:c r="A37" s="16"/>
      <x:c r="B37" s="16"/>
      <x:c r="C37" s="16"/>
      <x:c r="D37" s="16"/>
      <x:c r="E37" s="16"/>
      <x:c r="F37" s="16"/>
      <x:c r="G37" s="16"/>
      <x:c r="H37" s="16"/>
      <x:c r="I37" s="16"/>
      <x:c r="J37" s="16"/>
      <x:c r="K37" s="16"/>
      <x:c r="L37" s="16"/>
      <x:c r="M37" s="16"/>
      <x:c r="N37" s="16"/>
      <x:c r="O37" s="16"/>
      <x:c r="P37" s="16"/>
      <x:c r="Q37" s="16"/>
      <x:c r="R37" s="16"/>
      <x:c r="S37" s="16"/>
      <x:c r="T37" s="16"/>
      <x:c r="U37" s="16"/>
      <x:c r="V37" s="16"/>
      <x:c r="W37" s="16"/>
      <x:c r="X37" s="16"/>
      <x:c r="Y37" s="16"/>
    </x:row>
    <x:row r="38">
      <x:c r="A38" s="16"/>
      <x:c r="B38" s="16"/>
      <x:c r="C38" s="16"/>
      <x:c r="D38" s="16"/>
      <x:c r="E38" s="16"/>
      <x:c r="F38" s="16"/>
      <x:c r="G38" s="16"/>
      <x:c r="H38" s="16"/>
      <x:c r="I38" s="16"/>
      <x:c r="J38" s="16"/>
      <x:c r="K38" s="16"/>
      <x:c r="L38" s="16"/>
      <x:c r="M38" s="16"/>
      <x:c r="N38" s="16"/>
      <x:c r="O38" s="16"/>
      <x:c r="P38" s="16"/>
      <x:c r="Q38" s="16"/>
      <x:c r="R38" s="16"/>
      <x:c r="S38" s="16"/>
      <x:c r="T38" s="16"/>
      <x:c r="U38" s="16"/>
      <x:c r="V38" s="16"/>
      <x:c r="W38" s="16"/>
      <x:c r="X38" s="16"/>
      <x:c r="Y38" s="16"/>
    </x:row>
    <x:row r="39">
      <x:c r="A39" s="16"/>
      <x:c r="B39" s="16"/>
      <x:c r="C39" s="16"/>
      <x:c r="D39" s="16"/>
      <x:c r="E39" s="16"/>
      <x:c r="F39" s="16"/>
      <x:c r="G39" s="16"/>
      <x:c r="H39" s="16"/>
      <x:c r="I39" s="16"/>
      <x:c r="J39" s="16"/>
      <x:c r="K39" s="16"/>
      <x:c r="L39" s="16"/>
      <x:c r="M39" s="16"/>
      <x:c r="N39" s="16"/>
      <x:c r="O39" s="16"/>
      <x:c r="P39" s="16"/>
      <x:c r="Q39" s="16"/>
      <x:c r="R39" s="16"/>
      <x:c r="S39" s="16"/>
      <x:c r="T39" s="16"/>
      <x:c r="U39" s="16"/>
      <x:c r="V39" s="16"/>
      <x:c r="W39" s="16"/>
      <x:c r="X39" s="16"/>
      <x:c r="Y39" s="16"/>
    </x:row>
    <x:row r="40">
      <x:c r="A40" s="16"/>
      <x:c r="B40" s="16"/>
      <x:c r="C40" s="16"/>
      <x:c r="D40" s="16"/>
      <x:c r="E40" s="16"/>
      <x:c r="F40" s="16"/>
      <x:c r="G40" s="16"/>
      <x:c r="H40" s="16"/>
      <x:c r="I40" s="16"/>
      <x:c r="J40" s="16"/>
      <x:c r="K40" s="16"/>
      <x:c r="L40" s="16"/>
      <x:c r="M40" s="16"/>
      <x:c r="N40" s="16"/>
      <x:c r="O40" s="16"/>
      <x:c r="P40" s="16"/>
      <x:c r="Q40" s="16"/>
      <x:c r="R40" s="16"/>
      <x:c r="S40" s="16"/>
      <x:c r="T40" s="16"/>
      <x:c r="U40" s="16"/>
      <x:c r="V40" s="16"/>
      <x:c r="W40" s="16"/>
      <x:c r="X40" s="16"/>
      <x:c r="Y40" s="16"/>
    </x:row>
    <x:row r="41">
      <x:c r="A41" s="16"/>
      <x:c r="B41" s="16"/>
      <x:c r="C41" s="16"/>
      <x:c r="D41" s="16"/>
      <x:c r="E41" s="16"/>
      <x:c r="F41" s="16"/>
      <x:c r="G41" s="16"/>
      <x:c r="H41" s="16"/>
      <x:c r="I41" s="16"/>
      <x:c r="J41" s="16"/>
      <x:c r="K41" s="16"/>
      <x:c r="L41" s="16"/>
      <x:c r="M41" s="16"/>
      <x:c r="N41" s="16"/>
      <x:c r="O41" s="16"/>
      <x:c r="P41" s="16"/>
      <x:c r="Q41" s="16"/>
      <x:c r="R41" s="16"/>
      <x:c r="S41" s="16"/>
      <x:c r="T41" s="16"/>
      <x:c r="U41" s="16"/>
      <x:c r="V41" s="16"/>
      <x:c r="W41" s="16"/>
      <x:c r="X41" s="16"/>
      <x:c r="Y41" s="16"/>
    </x:row>
    <x:row r="42">
      <x:c r="A42" s="16"/>
      <x:c r="B42" s="16"/>
      <x:c r="C42" s="16"/>
      <x:c r="D42" s="16"/>
      <x:c r="E42" s="16"/>
      <x:c r="F42" s="16"/>
      <x:c r="G42" s="16"/>
      <x:c r="H42" s="16"/>
      <x:c r="I42" s="16"/>
      <x:c r="J42" s="16"/>
      <x:c r="K42" s="16"/>
      <x:c r="L42" s="16"/>
      <x:c r="M42" s="16"/>
      <x:c r="N42" s="16"/>
      <x:c r="O42" s="16"/>
      <x:c r="P42" s="16"/>
      <x:c r="Q42" s="16"/>
      <x:c r="R42" s="16"/>
      <x:c r="S42" s="16"/>
      <x:c r="T42" s="16"/>
      <x:c r="U42" s="16"/>
      <x:c r="V42" s="16"/>
      <x:c r="W42" s="16"/>
      <x:c r="X42" s="16"/>
      <x:c r="Y42" s="16"/>
    </x:row>
    <x:row r="43">
      <x:c r="A43" s="16"/>
      <x:c r="B43" s="16"/>
      <x:c r="C43" s="16"/>
      <x:c r="D43" s="16"/>
      <x:c r="E43" s="16"/>
      <x:c r="F43" s="16"/>
      <x:c r="G43" s="16"/>
      <x:c r="H43" s="16"/>
      <x:c r="I43" s="16"/>
      <x:c r="J43" s="16"/>
      <x:c r="K43" s="16"/>
      <x:c r="L43" s="16"/>
      <x:c r="M43" s="16"/>
      <x:c r="N43" s="16"/>
      <x:c r="O43" s="16"/>
      <x:c r="P43" s="16"/>
      <x:c r="Q43" s="16"/>
      <x:c r="R43" s="16"/>
      <x:c r="S43" s="16"/>
      <x:c r="T43" s="16"/>
      <x:c r="U43" s="16"/>
      <x:c r="V43" s="16"/>
      <x:c r="W43" s="16"/>
      <x:c r="X43" s="16"/>
      <x:c r="Y43" s="16"/>
    </x:row>
    <x:row r="44">
      <x:c r="A44" s="16"/>
      <x:c r="B44" s="16"/>
      <x:c r="C44" s="16"/>
      <x:c r="D44" s="16"/>
      <x:c r="E44" s="16"/>
      <x:c r="F44" s="16"/>
      <x:c r="G44" s="16"/>
      <x:c r="H44" s="16"/>
      <x:c r="I44" s="16"/>
      <x:c r="J44" s="16"/>
      <x:c r="K44" s="16"/>
      <x:c r="L44" s="16"/>
      <x:c r="M44" s="16"/>
      <x:c r="N44" s="16"/>
      <x:c r="O44" s="16"/>
      <x:c r="P44" s="16"/>
      <x:c r="Q44" s="16"/>
      <x:c r="R44" s="16"/>
      <x:c r="S44" s="16"/>
      <x:c r="T44" s="16"/>
      <x:c r="U44" s="16"/>
      <x:c r="V44" s="16"/>
      <x:c r="W44" s="16"/>
      <x:c r="X44" s="16"/>
      <x:c r="Y44" s="16"/>
    </x:row>
    <x:row r="45">
      <x:c r="A45" s="16"/>
      <x:c r="B45" s="16"/>
      <x:c r="C45" s="16"/>
      <x:c r="D45" s="16"/>
      <x:c r="E45" s="16"/>
      <x:c r="F45" s="16"/>
      <x:c r="G45" s="16"/>
      <x:c r="H45" s="16"/>
      <x:c r="I45" s="16"/>
      <x:c r="J45" s="16"/>
      <x:c r="K45" s="16"/>
      <x:c r="L45" s="16"/>
      <x:c r="M45" s="16"/>
      <x:c r="N45" s="16"/>
      <x:c r="O45" s="16"/>
      <x:c r="P45" s="16"/>
      <x:c r="Q45" s="16"/>
      <x:c r="R45" s="16"/>
      <x:c r="S45" s="16"/>
      <x:c r="T45" s="16"/>
      <x:c r="U45" s="16"/>
      <x:c r="V45" s="16"/>
      <x:c r="W45" s="16"/>
      <x:c r="X45" s="16"/>
      <x:c r="Y45" s="16"/>
    </x:row>
    <x:row r="46">
      <x:c r="A46" s="16"/>
      <x:c r="B46" s="16"/>
      <x:c r="C46" s="16"/>
      <x:c r="D46" s="16"/>
      <x:c r="E46" s="16"/>
      <x:c r="F46" s="16"/>
      <x:c r="G46" s="16"/>
      <x:c r="H46" s="16"/>
      <x:c r="I46" s="16"/>
      <x:c r="J46" s="16"/>
      <x:c r="K46" s="16"/>
      <x:c r="L46" s="16"/>
      <x:c r="M46" s="16"/>
      <x:c r="N46" s="16"/>
      <x:c r="O46" s="16"/>
      <x:c r="P46" s="16"/>
      <x:c r="Q46" s="16"/>
      <x:c r="R46" s="16"/>
      <x:c r="S46" s="16"/>
      <x:c r="T46" s="16"/>
      <x:c r="U46" s="16"/>
      <x:c r="V46" s="16"/>
      <x:c r="W46" s="16"/>
      <x:c r="X46" s="16"/>
      <x:c r="Y46" s="16"/>
    </x:row>
    <x:row r="47">
      <x:c r="A47" s="16"/>
      <x:c r="B47" s="16"/>
      <x:c r="C47" s="16"/>
      <x:c r="D47" s="16"/>
      <x:c r="E47" s="16"/>
      <x:c r="F47" s="16"/>
      <x:c r="G47" s="16"/>
      <x:c r="H47" s="16"/>
      <x:c r="I47" s="16"/>
      <x:c r="J47" s="16"/>
      <x:c r="K47" s="16"/>
      <x:c r="L47" s="16"/>
      <x:c r="M47" s="16"/>
      <x:c r="N47" s="16"/>
      <x:c r="O47" s="16"/>
      <x:c r="P47" s="16"/>
      <x:c r="Q47" s="16"/>
      <x:c r="R47" s="16"/>
      <x:c r="S47" s="16"/>
      <x:c r="T47" s="16"/>
      <x:c r="U47" s="16"/>
      <x:c r="V47" s="16"/>
      <x:c r="W47" s="16"/>
      <x:c r="X47" s="16"/>
      <x:c r="Y47" s="16"/>
    </x:row>
    <x:row r="48">
      <x:c r="A48" s="16"/>
      <x:c r="B48" s="16"/>
      <x:c r="C48" s="16"/>
      <x:c r="D48" s="16"/>
      <x:c r="E48" s="16"/>
      <x:c r="F48" s="16"/>
      <x:c r="G48" s="16"/>
      <x:c r="H48" s="16"/>
      <x:c r="I48" s="16"/>
      <x:c r="J48" s="16"/>
      <x:c r="K48" s="16"/>
      <x:c r="L48" s="16"/>
      <x:c r="M48" s="16"/>
      <x:c r="N48" s="16"/>
      <x:c r="O48" s="16"/>
      <x:c r="P48" s="16"/>
      <x:c r="Q48" s="16"/>
      <x:c r="R48" s="16"/>
      <x:c r="S48" s="16"/>
      <x:c r="T48" s="16"/>
      <x:c r="U48" s="16"/>
      <x:c r="V48" s="16"/>
      <x:c r="W48" s="16"/>
      <x:c r="X48" s="16"/>
      <x:c r="Y48" s="16"/>
    </x:row>
    <x:row r="49">
      <x:c r="A49" s="16"/>
      <x:c r="B49" s="16"/>
      <x:c r="C49" s="16"/>
      <x:c r="D49" s="16"/>
      <x:c r="E49" s="16"/>
      <x:c r="F49" s="16"/>
      <x:c r="G49" s="16"/>
      <x:c r="H49" s="16"/>
      <x:c r="I49" s="16"/>
      <x:c r="J49" s="16"/>
      <x:c r="K49" s="16"/>
      <x:c r="L49" s="16"/>
      <x:c r="M49" s="16"/>
      <x:c r="N49" s="16"/>
      <x:c r="O49" s="16"/>
      <x:c r="P49" s="16"/>
      <x:c r="Q49" s="16"/>
      <x:c r="R49" s="16"/>
      <x:c r="S49" s="16"/>
      <x:c r="T49" s="16"/>
      <x:c r="U49" s="16"/>
      <x:c r="V49" s="16"/>
      <x:c r="W49" s="16"/>
      <x:c r="X49" s="16"/>
      <x:c r="Y49" s="16"/>
    </x:row>
    <x:row r="50">
      <x:c r="A50" s="16"/>
      <x:c r="B50" s="16"/>
      <x:c r="C50" s="16"/>
      <x:c r="D50" s="16"/>
      <x:c r="E50" s="16"/>
      <x:c r="F50" s="16"/>
      <x:c r="G50" s="16"/>
      <x:c r="H50" s="16"/>
      <x:c r="I50" s="16"/>
      <x:c r="J50" s="16"/>
      <x:c r="K50" s="16"/>
      <x:c r="L50" s="16"/>
      <x:c r="M50" s="16"/>
      <x:c r="N50" s="16"/>
      <x:c r="O50" s="16"/>
      <x:c r="P50" s="16"/>
      <x:c r="Q50" s="16"/>
      <x:c r="R50" s="16"/>
      <x:c r="S50" s="16"/>
      <x:c r="T50" s="16"/>
      <x:c r="U50" s="16"/>
      <x:c r="V50" s="16"/>
      <x:c r="W50" s="16"/>
      <x:c r="X50" s="16"/>
      <x:c r="Y50" s="16"/>
    </x:row>
    <x:row r="51">
      <x:c r="A51" s="16"/>
      <x:c r="B51" s="16"/>
      <x:c r="C51" s="16"/>
      <x:c r="D51" s="16"/>
      <x:c r="E51" s="16"/>
      <x:c r="F51" s="16"/>
      <x:c r="G51" s="16"/>
      <x:c r="H51" s="16"/>
      <x:c r="I51" s="16"/>
      <x:c r="J51" s="16"/>
      <x:c r="K51" s="16"/>
      <x:c r="L51" s="16"/>
      <x:c r="M51" s="16"/>
      <x:c r="N51" s="16"/>
      <x:c r="O51" s="16"/>
      <x:c r="P51" s="16"/>
      <x:c r="Q51" s="16"/>
      <x:c r="R51" s="16"/>
      <x:c r="S51" s="16"/>
      <x:c r="T51" s="16"/>
      <x:c r="U51" s="16"/>
      <x:c r="V51" s="16"/>
      <x:c r="W51" s="16"/>
      <x:c r="X51" s="16"/>
      <x:c r="Y51" s="16"/>
    </x:row>
    <x:row r="52">
      <x:c r="A52" s="16"/>
      <x:c r="B52" s="16"/>
      <x:c r="C52" s="16"/>
      <x:c r="D52" s="16"/>
      <x:c r="E52" s="16"/>
      <x:c r="F52" s="16"/>
      <x:c r="G52" s="16"/>
      <x:c r="H52" s="16"/>
      <x:c r="I52" s="16"/>
      <x:c r="J52" s="16"/>
      <x:c r="K52" s="16"/>
      <x:c r="L52" s="16"/>
      <x:c r="M52" s="16"/>
      <x:c r="N52" s="16"/>
      <x:c r="O52" s="16"/>
      <x:c r="P52" s="16"/>
      <x:c r="Q52" s="16"/>
      <x:c r="R52" s="16"/>
      <x:c r="S52" s="16"/>
      <x:c r="T52" s="16"/>
      <x:c r="U52" s="16"/>
      <x:c r="V52" s="16"/>
      <x:c r="W52" s="16"/>
      <x:c r="X52" s="16"/>
      <x:c r="Y52" s="16"/>
    </x:row>
    <x:row r="53">
      <x:c r="A53" s="16"/>
      <x:c r="B53" s="16"/>
      <x:c r="C53" s="16"/>
      <x:c r="D53" s="16"/>
      <x:c r="E53" s="16"/>
      <x:c r="F53" s="16"/>
      <x:c r="G53" s="16"/>
      <x:c r="H53" s="16"/>
      <x:c r="I53" s="16"/>
      <x:c r="J53" s="16"/>
      <x:c r="K53" s="16"/>
      <x:c r="L53" s="16"/>
      <x:c r="M53" s="16"/>
      <x:c r="N53" s="16"/>
      <x:c r="O53" s="16"/>
      <x:c r="P53" s="16"/>
      <x:c r="Q53" s="16"/>
      <x:c r="R53" s="16"/>
      <x:c r="S53" s="16"/>
      <x:c r="T53" s="16"/>
      <x:c r="U53" s="16"/>
      <x:c r="V53" s="16"/>
      <x:c r="W53" s="16"/>
      <x:c r="X53" s="16"/>
      <x:c r="Y53" s="16"/>
    </x:row>
    <x:row r="54">
      <x:c r="A54" s="16"/>
      <x:c r="B54" s="16"/>
      <x:c r="C54" s="16"/>
      <x:c r="D54" s="16"/>
      <x:c r="E54" s="16"/>
      <x:c r="F54" s="16"/>
      <x:c r="G54" s="16"/>
      <x:c r="H54" s="16"/>
      <x:c r="I54" s="16"/>
      <x:c r="J54" s="16"/>
      <x:c r="K54" s="16"/>
      <x:c r="L54" s="16"/>
      <x:c r="M54" s="16"/>
      <x:c r="N54" s="16"/>
      <x:c r="O54" s="16"/>
      <x:c r="P54" s="16"/>
      <x:c r="Q54" s="16"/>
      <x:c r="R54" s="16"/>
      <x:c r="S54" s="16"/>
      <x:c r="T54" s="16"/>
      <x:c r="U54" s="16"/>
      <x:c r="V54" s="16"/>
      <x:c r="W54" s="16"/>
      <x:c r="X54" s="16"/>
      <x:c r="Y54" s="16"/>
    </x:row>
    <x:row r="55">
      <x:c r="A55" s="16"/>
      <x:c r="B55" s="16"/>
      <x:c r="C55" s="16"/>
      <x:c r="D55" s="16"/>
      <x:c r="E55" s="16"/>
      <x:c r="F55" s="16"/>
      <x:c r="G55" s="16"/>
      <x:c r="H55" s="16"/>
      <x:c r="I55" s="16"/>
      <x:c r="J55" s="16"/>
      <x:c r="K55" s="16"/>
      <x:c r="L55" s="16"/>
      <x:c r="M55" s="16"/>
      <x:c r="N55" s="16"/>
      <x:c r="O55" s="16"/>
      <x:c r="P55" s="16"/>
      <x:c r="Q55" s="16"/>
      <x:c r="R55" s="16"/>
      <x:c r="S55" s="16"/>
      <x:c r="T55" s="16"/>
      <x:c r="U55" s="16"/>
      <x:c r="V55" s="16"/>
      <x:c r="W55" s="16"/>
      <x:c r="X55" s="16"/>
      <x:c r="Y55" s="16"/>
    </x:row>
    <x:row r="56">
      <x:c r="A56" s="16"/>
      <x:c r="B56" s="16"/>
      <x:c r="C56" s="16"/>
      <x:c r="D56" s="16"/>
      <x:c r="E56" s="16"/>
      <x:c r="F56" s="16"/>
      <x:c r="G56" s="16"/>
      <x:c r="H56" s="16"/>
      <x:c r="I56" s="16"/>
      <x:c r="J56" s="16"/>
      <x:c r="K56" s="16"/>
      <x:c r="L56" s="16"/>
      <x:c r="M56" s="16"/>
      <x:c r="N56" s="16"/>
      <x:c r="O56" s="16"/>
      <x:c r="P56" s="16"/>
      <x:c r="Q56" s="16"/>
      <x:c r="R56" s="16"/>
      <x:c r="S56" s="16"/>
      <x:c r="T56" s="16"/>
      <x:c r="U56" s="16"/>
      <x:c r="V56" s="16"/>
      <x:c r="W56" s="16"/>
      <x:c r="X56" s="16"/>
      <x:c r="Y56" s="16"/>
    </x:row>
    <x:row r="57">
      <x:c r="A57" s="16"/>
      <x:c r="B57" s="16"/>
      <x:c r="C57" s="16"/>
      <x:c r="D57" s="16"/>
      <x:c r="E57" s="16"/>
      <x:c r="F57" s="16"/>
      <x:c r="G57" s="16"/>
      <x:c r="H57" s="16"/>
      <x:c r="I57" s="16"/>
      <x:c r="J57" s="16"/>
      <x:c r="K57" s="16"/>
      <x:c r="L57" s="16"/>
      <x:c r="M57" s="16"/>
      <x:c r="N57" s="16"/>
      <x:c r="O57" s="16"/>
      <x:c r="P57" s="16"/>
      <x:c r="Q57" s="16"/>
      <x:c r="R57" s="16"/>
      <x:c r="S57" s="16"/>
      <x:c r="T57" s="16"/>
      <x:c r="U57" s="16"/>
      <x:c r="V57" s="16"/>
      <x:c r="W57" s="16"/>
      <x:c r="X57" s="16"/>
      <x:c r="Y57" s="16"/>
    </x:row>
    <x:row r="58">
      <x:c r="A58" s="16"/>
      <x:c r="B58" s="16"/>
      <x:c r="C58" s="16"/>
      <x:c r="D58" s="16"/>
      <x:c r="E58" s="16"/>
      <x:c r="F58" s="16"/>
      <x:c r="G58" s="16"/>
      <x:c r="H58" s="16"/>
      <x:c r="I58" s="16"/>
      <x:c r="J58" s="16"/>
      <x:c r="K58" s="16"/>
      <x:c r="L58" s="16"/>
      <x:c r="M58" s="16"/>
      <x:c r="N58" s="16"/>
      <x:c r="O58" s="16"/>
      <x:c r="P58" s="16"/>
      <x:c r="Q58" s="16"/>
      <x:c r="R58" s="16"/>
      <x:c r="S58" s="16"/>
      <x:c r="T58" s="16"/>
      <x:c r="U58" s="16"/>
      <x:c r="V58" s="16"/>
      <x:c r="W58" s="16"/>
      <x:c r="X58" s="16"/>
      <x:c r="Y58" s="16"/>
    </x:row>
    <x:row r="59">
      <x:c r="A59" s="16"/>
      <x:c r="B59" s="16"/>
      <x:c r="C59" s="16"/>
      <x:c r="D59" s="16"/>
      <x:c r="E59" s="16"/>
      <x:c r="F59" s="16"/>
      <x:c r="G59" s="16"/>
      <x:c r="H59" s="16"/>
      <x:c r="I59" s="16"/>
      <x:c r="J59" s="16"/>
      <x:c r="K59" s="16"/>
      <x:c r="L59" s="16"/>
      <x:c r="M59" s="16"/>
      <x:c r="N59" s="16"/>
      <x:c r="O59" s="16"/>
      <x:c r="P59" s="16"/>
      <x:c r="Q59" s="16"/>
      <x:c r="R59" s="16"/>
      <x:c r="S59" s="16"/>
      <x:c r="T59" s="16"/>
      <x:c r="U59" s="16"/>
      <x:c r="V59" s="16"/>
      <x:c r="W59" s="16"/>
      <x:c r="X59" s="16"/>
      <x:c r="Y59" s="16"/>
    </x:row>
    <x:row r="60">
      <x:c r="A60" s="16"/>
      <x:c r="B60" s="16"/>
      <x:c r="C60" s="16"/>
      <x:c r="D60" s="16"/>
      <x:c r="E60" s="16"/>
      <x:c r="F60" s="16"/>
      <x:c r="G60" s="16"/>
      <x:c r="H60" s="16"/>
      <x:c r="I60" s="16"/>
      <x:c r="J60" s="16"/>
      <x:c r="K60" s="16"/>
      <x:c r="L60" s="16"/>
      <x:c r="M60" s="16"/>
      <x:c r="N60" s="16"/>
      <x:c r="O60" s="16"/>
      <x:c r="P60" s="16"/>
      <x:c r="Q60" s="16"/>
      <x:c r="R60" s="16"/>
      <x:c r="S60" s="16"/>
      <x:c r="T60" s="16"/>
      <x:c r="U60" s="16"/>
      <x:c r="V60" s="16"/>
      <x:c r="W60" s="16"/>
      <x:c r="X60" s="16"/>
      <x:c r="Y60" s="16"/>
    </x:row>
    <x:row r="61">
      <x:c r="A61" s="16"/>
      <x:c r="B61" s="16"/>
      <x:c r="C61" s="16"/>
      <x:c r="D61" s="16"/>
      <x:c r="E61" s="16"/>
      <x:c r="F61" s="16"/>
      <x:c r="G61" s="16"/>
      <x:c r="H61" s="16"/>
      <x:c r="I61" s="16"/>
      <x:c r="J61" s="16"/>
      <x:c r="K61" s="16"/>
      <x:c r="L61" s="16"/>
      <x:c r="M61" s="16"/>
      <x:c r="N61" s="16"/>
      <x:c r="O61" s="16"/>
      <x:c r="P61" s="16"/>
      <x:c r="Q61" s="16"/>
      <x:c r="R61" s="16"/>
      <x:c r="S61" s="16"/>
      <x:c r="T61" s="16"/>
      <x:c r="U61" s="16"/>
      <x:c r="V61" s="16"/>
      <x:c r="W61" s="16"/>
      <x:c r="X61" s="16"/>
      <x:c r="Y61" s="16"/>
    </x:row>
    <x:row r="62">
      <x:c r="A62" s="16"/>
      <x:c r="B62" s="16"/>
      <x:c r="C62" s="16"/>
      <x:c r="D62" s="16"/>
      <x:c r="E62" s="16"/>
      <x:c r="F62" s="16"/>
      <x:c r="G62" s="16"/>
      <x:c r="H62" s="16"/>
      <x:c r="I62" s="16"/>
      <x:c r="J62" s="16"/>
      <x:c r="K62" s="16"/>
      <x:c r="L62" s="16"/>
      <x:c r="M62" s="16"/>
      <x:c r="N62" s="16"/>
      <x:c r="O62" s="16"/>
      <x:c r="P62" s="16"/>
      <x:c r="Q62" s="16"/>
      <x:c r="R62" s="16"/>
      <x:c r="S62" s="16"/>
      <x:c r="T62" s="16"/>
      <x:c r="U62" s="16"/>
      <x:c r="V62" s="16"/>
      <x:c r="W62" s="16"/>
      <x:c r="X62" s="16"/>
      <x:c r="Y62" s="16"/>
    </x:row>
    <x:row r="63">
      <x:c r="A63" s="16"/>
      <x:c r="B63" s="16"/>
      <x:c r="C63" s="16"/>
      <x:c r="D63" s="16"/>
      <x:c r="E63" s="16"/>
      <x:c r="F63" s="16"/>
      <x:c r="G63" s="16"/>
      <x:c r="H63" s="16"/>
      <x:c r="I63" s="16"/>
      <x:c r="J63" s="16"/>
      <x:c r="K63" s="16"/>
      <x:c r="L63" s="16"/>
      <x:c r="M63" s="16"/>
      <x:c r="N63" s="16"/>
      <x:c r="O63" s="16"/>
      <x:c r="P63" s="16"/>
      <x:c r="Q63" s="16"/>
      <x:c r="R63" s="16"/>
      <x:c r="S63" s="16"/>
      <x:c r="T63" s="16"/>
      <x:c r="U63" s="16"/>
      <x:c r="V63" s="16"/>
      <x:c r="W63" s="16"/>
      <x:c r="X63" s="16"/>
      <x:c r="Y63" s="16"/>
    </x:row>
    <x:row r="64">
      <x:c r="A64" s="16"/>
      <x:c r="B64" s="16"/>
      <x:c r="C64" s="16"/>
      <x:c r="D64" s="16"/>
      <x:c r="E64" s="16"/>
      <x:c r="F64" s="16"/>
      <x:c r="G64" s="16"/>
      <x:c r="H64" s="16"/>
      <x:c r="I64" s="16"/>
      <x:c r="J64" s="16"/>
      <x:c r="K64" s="16"/>
      <x:c r="L64" s="16"/>
      <x:c r="M64" s="16"/>
      <x:c r="N64" s="16"/>
      <x:c r="O64" s="16"/>
      <x:c r="P64" s="16"/>
      <x:c r="Q64" s="16"/>
      <x:c r="R64" s="16"/>
      <x:c r="S64" s="16"/>
      <x:c r="T64" s="16"/>
      <x:c r="U64" s="16"/>
      <x:c r="V64" s="16"/>
      <x:c r="W64" s="16"/>
      <x:c r="X64" s="16"/>
      <x:c r="Y64" s="16"/>
    </x:row>
    <x:row r="65">
      <x:c r="A65" s="16"/>
      <x:c r="B65" s="16"/>
      <x:c r="C65" s="16"/>
      <x:c r="D65" s="16"/>
      <x:c r="E65" s="16"/>
      <x:c r="F65" s="16"/>
      <x:c r="G65" s="16"/>
      <x:c r="H65" s="16"/>
      <x:c r="I65" s="16"/>
      <x:c r="J65" s="16"/>
      <x:c r="K65" s="16"/>
      <x:c r="L65" s="16"/>
      <x:c r="M65" s="16"/>
      <x:c r="N65" s="16"/>
      <x:c r="O65" s="16"/>
      <x:c r="P65" s="16"/>
      <x:c r="Q65" s="16"/>
      <x:c r="R65" s="16"/>
      <x:c r="S65" s="16"/>
      <x:c r="T65" s="16"/>
      <x:c r="U65" s="16"/>
      <x:c r="V65" s="16"/>
      <x:c r="W65" s="16"/>
      <x:c r="X65" s="16"/>
      <x:c r="Y65" s="16"/>
    </x:row>
    <x:row r="66">
      <x:c r="A66" s="16"/>
      <x:c r="B66" s="16"/>
      <x:c r="C66" s="16"/>
      <x:c r="D66" s="16"/>
      <x:c r="E66" s="16"/>
      <x:c r="F66" s="16"/>
      <x:c r="G66" s="16"/>
      <x:c r="H66" s="16"/>
      <x:c r="I66" s="16"/>
      <x:c r="J66" s="16"/>
      <x:c r="K66" s="16"/>
      <x:c r="L66" s="16"/>
      <x:c r="M66" s="16"/>
      <x:c r="N66" s="16"/>
      <x:c r="O66" s="16"/>
      <x:c r="P66" s="16"/>
      <x:c r="Q66" s="16"/>
      <x:c r="R66" s="16"/>
      <x:c r="S66" s="16"/>
      <x:c r="T66" s="16"/>
      <x:c r="U66" s="16"/>
      <x:c r="V66" s="16"/>
      <x:c r="W66" s="16"/>
      <x:c r="X66" s="16"/>
      <x:c r="Y66" s="16"/>
    </x:row>
    <x:row r="67">
      <x:c r="A67" s="16"/>
      <x:c r="B67" s="16"/>
      <x:c r="C67" s="16"/>
      <x:c r="D67" s="16"/>
      <x:c r="E67" s="16"/>
      <x:c r="F67" s="16"/>
      <x:c r="G67" s="16"/>
      <x:c r="H67" s="16"/>
      <x:c r="I67" s="16"/>
      <x:c r="J67" s="16"/>
      <x:c r="K67" s="16"/>
      <x:c r="L67" s="16"/>
      <x:c r="M67" s="16"/>
      <x:c r="N67" s="16"/>
      <x:c r="O67" s="16"/>
      <x:c r="P67" s="16"/>
      <x:c r="Q67" s="16"/>
      <x:c r="R67" s="16"/>
      <x:c r="S67" s="16"/>
      <x:c r="T67" s="16"/>
      <x:c r="U67" s="16"/>
      <x:c r="V67" s="16"/>
      <x:c r="W67" s="16"/>
      <x:c r="X67" s="16"/>
      <x:c r="Y67" s="16"/>
    </x:row>
    <x:row r="68">
      <x:c r="A68" s="16"/>
      <x:c r="B68" s="16"/>
      <x:c r="C68" s="16"/>
      <x:c r="D68" s="16"/>
      <x:c r="E68" s="16"/>
      <x:c r="F68" s="16"/>
      <x:c r="G68" s="16"/>
      <x:c r="H68" s="16"/>
      <x:c r="I68" s="16"/>
      <x:c r="J68" s="16"/>
      <x:c r="K68" s="16"/>
      <x:c r="L68" s="16"/>
      <x:c r="M68" s="16"/>
      <x:c r="N68" s="16"/>
      <x:c r="O68" s="16"/>
      <x:c r="P68" s="16"/>
      <x:c r="Q68" s="16"/>
      <x:c r="R68" s="16"/>
      <x:c r="S68" s="16"/>
      <x:c r="T68" s="16"/>
      <x:c r="U68" s="16"/>
      <x:c r="V68" s="16"/>
      <x:c r="W68" s="16"/>
      <x:c r="X68" s="16"/>
      <x:c r="Y68" s="16"/>
    </x:row>
    <x:row r="69">
      <x:c r="A69" s="16"/>
      <x:c r="B69" s="16"/>
      <x:c r="C69" s="16"/>
      <x:c r="D69" s="16"/>
      <x:c r="E69" s="16"/>
      <x:c r="F69" s="16"/>
      <x:c r="G69" s="16"/>
      <x:c r="H69" s="16"/>
      <x:c r="I69" s="16"/>
      <x:c r="J69" s="16"/>
      <x:c r="K69" s="16"/>
      <x:c r="L69" s="16"/>
      <x:c r="M69" s="16"/>
      <x:c r="N69" s="16"/>
      <x:c r="O69" s="16"/>
      <x:c r="P69" s="16"/>
      <x:c r="Q69" s="16"/>
      <x:c r="R69" s="16"/>
      <x:c r="S69" s="16"/>
      <x:c r="T69" s="16"/>
      <x:c r="U69" s="16"/>
      <x:c r="V69" s="16"/>
      <x:c r="W69" s="16"/>
      <x:c r="X69" s="16"/>
      <x:c r="Y69" s="16"/>
    </x:row>
    <x:row r="70">
      <x:c r="A70" s="16"/>
      <x:c r="B70" s="16"/>
      <x:c r="C70" s="16"/>
      <x:c r="D70" s="16"/>
      <x:c r="E70" s="16"/>
      <x:c r="F70" s="16"/>
      <x:c r="G70" s="16"/>
      <x:c r="H70" s="16"/>
      <x:c r="I70" s="16"/>
      <x:c r="J70" s="16"/>
      <x:c r="K70" s="16"/>
      <x:c r="L70" s="16"/>
      <x:c r="M70" s="16"/>
      <x:c r="N70" s="16"/>
      <x:c r="O70" s="16"/>
      <x:c r="P70" s="16"/>
      <x:c r="Q70" s="16"/>
      <x:c r="R70" s="16"/>
      <x:c r="S70" s="16"/>
      <x:c r="T70" s="16"/>
      <x:c r="U70" s="16"/>
      <x:c r="V70" s="16"/>
      <x:c r="W70" s="16"/>
      <x:c r="X70" s="16"/>
      <x:c r="Y70" s="16"/>
    </x:row>
    <x:row r="71">
      <x:c r="A71" s="16"/>
      <x:c r="B71" s="16"/>
      <x:c r="C71" s="16"/>
      <x:c r="D71" s="16"/>
      <x:c r="E71" s="16"/>
      <x:c r="F71" s="16"/>
      <x:c r="G71" s="16"/>
      <x:c r="H71" s="16"/>
      <x:c r="I71" s="16"/>
      <x:c r="J71" s="16"/>
      <x:c r="K71" s="16"/>
      <x:c r="L71" s="16"/>
      <x:c r="M71" s="16"/>
      <x:c r="N71" s="16"/>
      <x:c r="O71" s="16"/>
      <x:c r="P71" s="16"/>
      <x:c r="Q71" s="16"/>
      <x:c r="R71" s="16"/>
      <x:c r="S71" s="16"/>
      <x:c r="T71" s="16"/>
      <x:c r="U71" s="16"/>
      <x:c r="V71" s="16"/>
      <x:c r="W71" s="16"/>
      <x:c r="X71" s="16"/>
      <x:c r="Y71" s="16"/>
    </x:row>
    <x:row r="72">
      <x:c r="A72" s="16"/>
      <x:c r="B72" s="16"/>
      <x:c r="C72" s="16"/>
      <x:c r="D72" s="16"/>
      <x:c r="E72" s="16"/>
      <x:c r="F72" s="16"/>
      <x:c r="G72" s="16"/>
      <x:c r="H72" s="16"/>
      <x:c r="I72" s="16"/>
      <x:c r="J72" s="16"/>
      <x:c r="K72" s="16"/>
      <x:c r="L72" s="16"/>
      <x:c r="M72" s="16"/>
      <x:c r="N72" s="16"/>
      <x:c r="O72" s="16"/>
      <x:c r="P72" s="16"/>
      <x:c r="Q72" s="16"/>
      <x:c r="R72" s="16"/>
      <x:c r="S72" s="16"/>
      <x:c r="T72" s="16"/>
      <x:c r="U72" s="16"/>
      <x:c r="V72" s="16"/>
      <x:c r="W72" s="16"/>
      <x:c r="X72" s="16"/>
      <x:c r="Y72" s="16"/>
    </x:row>
    <x:row r="73">
      <x:c r="A73" s="16"/>
      <x:c r="B73" s="16"/>
      <x:c r="C73" s="16"/>
      <x:c r="D73" s="16"/>
      <x:c r="E73" s="16"/>
      <x:c r="F73" s="16"/>
      <x:c r="G73" s="16"/>
      <x:c r="H73" s="16"/>
      <x:c r="I73" s="16"/>
      <x:c r="J73" s="16"/>
      <x:c r="K73" s="16"/>
      <x:c r="L73" s="16"/>
      <x:c r="M73" s="16"/>
      <x:c r="N73" s="16"/>
      <x:c r="O73" s="16"/>
      <x:c r="P73" s="16"/>
      <x:c r="Q73" s="16"/>
      <x:c r="R73" s="16"/>
      <x:c r="S73" s="16"/>
      <x:c r="T73" s="16"/>
      <x:c r="U73" s="16"/>
      <x:c r="V73" s="16"/>
      <x:c r="W73" s="16"/>
      <x:c r="X73" s="16"/>
      <x:c r="Y73" s="16"/>
    </x:row>
    <x:row r="74">
      <x:c r="A74" s="16"/>
      <x:c r="B74" s="16"/>
      <x:c r="C74" s="16"/>
      <x:c r="D74" s="16"/>
      <x:c r="E74" s="16"/>
      <x:c r="F74" s="16"/>
      <x:c r="G74" s="16"/>
      <x:c r="H74" s="16"/>
      <x:c r="I74" s="16"/>
      <x:c r="J74" s="16"/>
      <x:c r="K74" s="16"/>
      <x:c r="L74" s="16"/>
      <x:c r="M74" s="16"/>
      <x:c r="N74" s="16"/>
      <x:c r="O74" s="16"/>
      <x:c r="P74" s="16"/>
      <x:c r="Q74" s="16"/>
      <x:c r="R74" s="16"/>
      <x:c r="S74" s="16"/>
      <x:c r="T74" s="16"/>
      <x:c r="U74" s="16"/>
      <x:c r="V74" s="16"/>
      <x:c r="W74" s="16"/>
      <x:c r="X74" s="16"/>
      <x:c r="Y74" s="16"/>
    </x:row>
    <x:row r="75">
      <x:c r="A75" s="16"/>
      <x:c r="B75" s="16"/>
      <x:c r="C75" s="16"/>
      <x:c r="D75" s="16"/>
      <x:c r="E75" s="16"/>
      <x:c r="F75" s="16"/>
      <x:c r="G75" s="16"/>
      <x:c r="H75" s="16"/>
      <x:c r="I75" s="16"/>
      <x:c r="J75" s="16"/>
      <x:c r="K75" s="16"/>
      <x:c r="L75" s="16"/>
      <x:c r="M75" s="16"/>
      <x:c r="N75" s="16"/>
      <x:c r="O75" s="16"/>
      <x:c r="P75" s="16"/>
      <x:c r="Q75" s="16"/>
      <x:c r="R75" s="16"/>
      <x:c r="S75" s="16"/>
      <x:c r="T75" s="16"/>
      <x:c r="U75" s="16"/>
      <x:c r="V75" s="16"/>
      <x:c r="W75" s="16"/>
      <x:c r="X75" s="16"/>
      <x:c r="Y75" s="16"/>
    </x:row>
    <x:row r="76">
      <x:c r="A76" s="16"/>
      <x:c r="B76" s="16"/>
      <x:c r="C76" s="16"/>
      <x:c r="D76" s="16"/>
      <x:c r="E76" s="16"/>
      <x:c r="F76" s="16"/>
      <x:c r="G76" s="16"/>
      <x:c r="H76" s="16"/>
      <x:c r="I76" s="16"/>
      <x:c r="J76" s="16"/>
      <x:c r="K76" s="16"/>
      <x:c r="L76" s="16"/>
      <x:c r="M76" s="16"/>
      <x:c r="N76" s="16"/>
      <x:c r="O76" s="16"/>
      <x:c r="P76" s="16"/>
      <x:c r="Q76" s="16"/>
      <x:c r="R76" s="16"/>
      <x:c r="S76" s="16"/>
      <x:c r="T76" s="16"/>
      <x:c r="U76" s="16"/>
      <x:c r="V76" s="16"/>
      <x:c r="W76" s="16"/>
      <x:c r="X76" s="16"/>
      <x:c r="Y76" s="16"/>
    </x:row>
    <x:row r="77">
      <x:c r="A77" s="16"/>
      <x:c r="B77" s="16"/>
      <x:c r="C77" s="16"/>
      <x:c r="D77" s="16"/>
      <x:c r="E77" s="16"/>
      <x:c r="F77" s="16"/>
      <x:c r="G77" s="16"/>
      <x:c r="H77" s="16"/>
      <x:c r="I77" s="16"/>
      <x:c r="J77" s="16"/>
      <x:c r="K77" s="16"/>
      <x:c r="L77" s="16"/>
      <x:c r="M77" s="16"/>
      <x:c r="N77" s="16"/>
      <x:c r="O77" s="16"/>
      <x:c r="P77" s="16"/>
      <x:c r="Q77" s="16"/>
      <x:c r="R77" s="16"/>
      <x:c r="S77" s="16"/>
      <x:c r="T77" s="16"/>
      <x:c r="U77" s="16"/>
      <x:c r="V77" s="16"/>
      <x:c r="W77" s="16"/>
      <x:c r="X77" s="16"/>
      <x:c r="Y77" s="16"/>
    </x:row>
    <x:row r="78">
      <x:c r="A78" s="16"/>
      <x:c r="B78" s="16"/>
      <x:c r="C78" s="16"/>
      <x:c r="D78" s="16"/>
      <x:c r="E78" s="16"/>
      <x:c r="F78" s="16"/>
      <x:c r="G78" s="16"/>
      <x:c r="H78" s="16"/>
      <x:c r="I78" s="16"/>
      <x:c r="J78" s="16"/>
      <x:c r="K78" s="16"/>
      <x:c r="L78" s="16"/>
      <x:c r="M78" s="16"/>
      <x:c r="N78" s="16"/>
      <x:c r="O78" s="16"/>
      <x:c r="P78" s="16"/>
      <x:c r="Q78" s="16"/>
      <x:c r="R78" s="16"/>
      <x:c r="S78" s="16"/>
      <x:c r="T78" s="16"/>
      <x:c r="U78" s="16"/>
      <x:c r="V78" s="16"/>
      <x:c r="W78" s="16"/>
      <x:c r="X78" s="16"/>
      <x:c r="Y78" s="16"/>
    </x:row>
    <x:row r="79">
      <x:c r="A79" s="16"/>
      <x:c r="B79" s="16"/>
      <x:c r="C79" s="16"/>
      <x:c r="D79" s="16"/>
      <x:c r="E79" s="16"/>
      <x:c r="F79" s="16"/>
      <x:c r="G79" s="16"/>
      <x:c r="H79" s="16"/>
      <x:c r="I79" s="16"/>
      <x:c r="J79" s="16"/>
      <x:c r="K79" s="16"/>
      <x:c r="L79" s="16"/>
      <x:c r="M79" s="16"/>
      <x:c r="N79" s="16"/>
      <x:c r="O79" s="16"/>
      <x:c r="P79" s="16"/>
      <x:c r="Q79" s="16"/>
      <x:c r="R79" s="16"/>
      <x:c r="S79" s="16"/>
      <x:c r="T79" s="16"/>
      <x:c r="U79" s="16"/>
      <x:c r="V79" s="16"/>
      <x:c r="W79" s="16"/>
      <x:c r="X79" s="16"/>
      <x:c r="Y79" s="16"/>
    </x:row>
    <x:row r="80">
      <x:c r="A80" s="16"/>
      <x:c r="B80" s="16"/>
      <x:c r="C80" s="16"/>
      <x:c r="D80" s="16"/>
      <x:c r="E80" s="16"/>
      <x:c r="F80" s="16"/>
      <x:c r="G80" s="16"/>
      <x:c r="H80" s="16"/>
      <x:c r="I80" s="16"/>
      <x:c r="J80" s="16"/>
      <x:c r="K80" s="16"/>
      <x:c r="L80" s="16"/>
      <x:c r="M80" s="16"/>
      <x:c r="N80" s="16"/>
      <x:c r="O80" s="16"/>
      <x:c r="P80" s="16"/>
      <x:c r="Q80" s="16"/>
      <x:c r="R80" s="16"/>
      <x:c r="S80" s="16"/>
      <x:c r="T80" s="16"/>
      <x:c r="U80" s="16"/>
      <x:c r="V80" s="16"/>
      <x:c r="W80" s="16"/>
      <x:c r="X80" s="16"/>
      <x:c r="Y80" s="16"/>
    </x:row>
    <x:row r="81">
      <x:c r="A81" s="16"/>
      <x:c r="B81" s="16"/>
      <x:c r="C81" s="16"/>
      <x:c r="D81" s="16"/>
      <x:c r="E81" s="16"/>
      <x:c r="F81" s="16"/>
      <x:c r="G81" s="16"/>
      <x:c r="H81" s="16"/>
      <x:c r="I81" s="16"/>
      <x:c r="J81" s="16"/>
      <x:c r="K81" s="16"/>
      <x:c r="L81" s="16"/>
      <x:c r="M81" s="16"/>
      <x:c r="N81" s="16"/>
      <x:c r="O81" s="16"/>
      <x:c r="P81" s="16"/>
      <x:c r="Q81" s="16"/>
      <x:c r="R81" s="16"/>
      <x:c r="S81" s="16"/>
      <x:c r="T81" s="16"/>
      <x:c r="U81" s="16"/>
      <x:c r="V81" s="16"/>
      <x:c r="W81" s="16"/>
      <x:c r="X81" s="16"/>
      <x:c r="Y81" s="16"/>
    </x:row>
    <x:row r="82">
      <x:c r="A82" s="16"/>
      <x:c r="B82" s="16"/>
      <x:c r="C82" s="16"/>
      <x:c r="D82" s="16"/>
      <x:c r="E82" s="16"/>
      <x:c r="F82" s="16"/>
      <x:c r="G82" s="16"/>
      <x:c r="H82" s="16"/>
      <x:c r="I82" s="16"/>
      <x:c r="J82" s="16"/>
      <x:c r="K82" s="16"/>
      <x:c r="L82" s="16"/>
      <x:c r="M82" s="16"/>
      <x:c r="N82" s="16"/>
      <x:c r="O82" s="16"/>
      <x:c r="P82" s="16"/>
      <x:c r="Q82" s="16"/>
      <x:c r="R82" s="16"/>
      <x:c r="S82" s="16"/>
      <x:c r="T82" s="16"/>
      <x:c r="U82" s="16"/>
      <x:c r="V82" s="16"/>
      <x:c r="W82" s="16"/>
      <x:c r="X82" s="16"/>
      <x:c r="Y82" s="16"/>
    </x:row>
    <x:row r="83">
      <x:c r="A83" s="16"/>
      <x:c r="B83" s="16"/>
      <x:c r="C83" s="16"/>
      <x:c r="D83" s="16"/>
      <x:c r="E83" s="16"/>
      <x:c r="F83" s="16"/>
      <x:c r="G83" s="16"/>
      <x:c r="H83" s="16"/>
      <x:c r="I83" s="16"/>
      <x:c r="J83" s="16"/>
      <x:c r="K83" s="16"/>
      <x:c r="L83" s="16"/>
      <x:c r="M83" s="16"/>
      <x:c r="N83" s="16"/>
      <x:c r="O83" s="16"/>
      <x:c r="P83" s="16"/>
      <x:c r="Q83" s="16"/>
      <x:c r="R83" s="16"/>
      <x:c r="S83" s="16"/>
      <x:c r="T83" s="16"/>
      <x:c r="U83" s="16"/>
      <x:c r="V83" s="16"/>
      <x:c r="W83" s="16"/>
      <x:c r="X83" s="16"/>
      <x:c r="Y83" s="16"/>
    </x:row>
    <x:row r="84">
      <x:c r="A84" s="16"/>
      <x:c r="B84" s="16"/>
      <x:c r="C84" s="16"/>
      <x:c r="D84" s="16"/>
      <x:c r="E84" s="16"/>
      <x:c r="F84" s="16"/>
      <x:c r="G84" s="16"/>
      <x:c r="H84" s="16"/>
      <x:c r="I84" s="16"/>
      <x:c r="J84" s="16"/>
      <x:c r="K84" s="16"/>
      <x:c r="L84" s="16"/>
      <x:c r="M84" s="16"/>
      <x:c r="N84" s="16"/>
      <x:c r="O84" s="16"/>
      <x:c r="P84" s="16"/>
      <x:c r="Q84" s="16"/>
      <x:c r="R84" s="16"/>
      <x:c r="S84" s="16"/>
      <x:c r="T84" s="16"/>
      <x:c r="U84" s="16"/>
      <x:c r="V84" s="16"/>
      <x:c r="W84" s="16"/>
      <x:c r="X84" s="16"/>
      <x:c r="Y84" s="16"/>
    </x:row>
    <x:row r="85">
      <x:c r="A85" s="16"/>
      <x:c r="B85" s="16"/>
      <x:c r="C85" s="16"/>
      <x:c r="D85" s="16"/>
      <x:c r="E85" s="16"/>
      <x:c r="F85" s="16"/>
      <x:c r="G85" s="16"/>
      <x:c r="H85" s="16"/>
      <x:c r="I85" s="16"/>
      <x:c r="J85" s="16"/>
      <x:c r="K85" s="16"/>
      <x:c r="L85" s="16"/>
      <x:c r="M85" s="16"/>
      <x:c r="N85" s="16"/>
      <x:c r="O85" s="16"/>
      <x:c r="P85" s="16"/>
      <x:c r="Q85" s="16"/>
      <x:c r="R85" s="16"/>
      <x:c r="S85" s="16"/>
      <x:c r="T85" s="16"/>
      <x:c r="U85" s="16"/>
      <x:c r="V85" s="16"/>
      <x:c r="W85" s="16"/>
      <x:c r="X85" s="16"/>
      <x:c r="Y85" s="16"/>
    </x:row>
    <x:row r="86">
      <x:c r="A86" s="16"/>
      <x:c r="B86" s="16"/>
      <x:c r="C86" s="16"/>
      <x:c r="D86" s="16"/>
      <x:c r="E86" s="16"/>
      <x:c r="F86" s="16"/>
      <x:c r="G86" s="16"/>
      <x:c r="H86" s="16"/>
      <x:c r="I86" s="16"/>
      <x:c r="J86" s="16"/>
      <x:c r="K86" s="16"/>
      <x:c r="L86" s="16"/>
      <x:c r="M86" s="16"/>
      <x:c r="N86" s="16"/>
      <x:c r="O86" s="16"/>
      <x:c r="P86" s="16"/>
      <x:c r="Q86" s="16"/>
      <x:c r="R86" s="16"/>
      <x:c r="S86" s="16"/>
      <x:c r="T86" s="16"/>
      <x:c r="U86" s="16"/>
      <x:c r="V86" s="16"/>
      <x:c r="W86" s="16"/>
      <x:c r="X86" s="16"/>
      <x:c r="Y86" s="16"/>
    </x:row>
    <x:row r="87">
      <x:c r="A87" s="16"/>
      <x:c r="B87" s="16"/>
      <x:c r="C87" s="16"/>
      <x:c r="D87" s="16"/>
      <x:c r="E87" s="16"/>
      <x:c r="F87" s="16"/>
      <x:c r="G87" s="16"/>
      <x:c r="H87" s="16"/>
      <x:c r="I87" s="16"/>
      <x:c r="J87" s="16"/>
      <x:c r="K87" s="16"/>
      <x:c r="L87" s="16"/>
      <x:c r="M87" s="16"/>
      <x:c r="N87" s="16"/>
      <x:c r="O87" s="16"/>
      <x:c r="P87" s="16"/>
      <x:c r="Q87" s="16"/>
      <x:c r="R87" s="16"/>
      <x:c r="S87" s="16"/>
      <x:c r="T87" s="16"/>
      <x:c r="U87" s="16"/>
      <x:c r="V87" s="16"/>
      <x:c r="W87" s="16"/>
      <x:c r="X87" s="16"/>
      <x:c r="Y87" s="16"/>
    </x:row>
    <x:row r="88">
      <x:c r="A88" s="16"/>
      <x:c r="B88" s="16"/>
      <x:c r="C88" s="16"/>
      <x:c r="D88" s="16"/>
      <x:c r="E88" s="16"/>
      <x:c r="F88" s="16"/>
      <x:c r="G88" s="16"/>
      <x:c r="H88" s="16"/>
      <x:c r="I88" s="16"/>
      <x:c r="J88" s="16"/>
      <x:c r="K88" s="16"/>
      <x:c r="L88" s="16"/>
      <x:c r="M88" s="16"/>
      <x:c r="N88" s="16"/>
      <x:c r="O88" s="16"/>
      <x:c r="P88" s="16"/>
      <x:c r="Q88" s="16"/>
      <x:c r="R88" s="16"/>
      <x:c r="S88" s="16"/>
      <x:c r="T88" s="16"/>
      <x:c r="U88" s="16"/>
      <x:c r="V88" s="16"/>
      <x:c r="W88" s="16"/>
      <x:c r="X88" s="16"/>
      <x:c r="Y88" s="16"/>
    </x:row>
    <x:row r="89">
      <x:c r="A89" s="16"/>
      <x:c r="B89" s="16"/>
      <x:c r="C89" s="16"/>
      <x:c r="D89" s="16"/>
      <x:c r="E89" s="16"/>
      <x:c r="F89" s="16"/>
      <x:c r="G89" s="16"/>
      <x:c r="H89" s="16"/>
      <x:c r="I89" s="16"/>
      <x:c r="J89" s="16"/>
      <x:c r="K89" s="16"/>
      <x:c r="L89" s="16"/>
      <x:c r="M89" s="16"/>
      <x:c r="N89" s="16"/>
      <x:c r="O89" s="16"/>
      <x:c r="P89" s="16"/>
      <x:c r="Q89" s="16"/>
      <x:c r="R89" s="16"/>
      <x:c r="S89" s="16"/>
      <x:c r="T89" s="16"/>
      <x:c r="U89" s="16"/>
      <x:c r="V89" s="16"/>
      <x:c r="W89" s="16"/>
      <x:c r="X89" s="16"/>
      <x:c r="Y89" s="16"/>
    </x:row>
    <x:row r="90">
      <x:c r="A90" s="16"/>
      <x:c r="B90" s="16"/>
      <x:c r="C90" s="16"/>
      <x:c r="D90" s="16"/>
      <x:c r="E90" s="16"/>
      <x:c r="F90" s="16"/>
      <x:c r="G90" s="16"/>
      <x:c r="H90" s="16"/>
      <x:c r="I90" s="16"/>
      <x:c r="J90" s="16"/>
      <x:c r="K90" s="16"/>
      <x:c r="L90" s="16"/>
      <x:c r="M90" s="16"/>
      <x:c r="N90" s="16"/>
      <x:c r="O90" s="16"/>
      <x:c r="P90" s="16"/>
      <x:c r="Q90" s="16"/>
      <x:c r="R90" s="16"/>
      <x:c r="S90" s="16"/>
      <x:c r="T90" s="16"/>
      <x:c r="U90" s="16"/>
      <x:c r="V90" s="16"/>
      <x:c r="W90" s="16"/>
      <x:c r="X90" s="16"/>
      <x:c r="Y90" s="16"/>
    </x:row>
    <x:row r="91">
      <x:c r="A91" s="16"/>
      <x:c r="B91" s="16"/>
      <x:c r="C91" s="16"/>
      <x:c r="D91" s="16"/>
      <x:c r="E91" s="16"/>
      <x:c r="F91" s="16"/>
      <x:c r="G91" s="16"/>
      <x:c r="H91" s="16"/>
      <x:c r="I91" s="16"/>
      <x:c r="J91" s="16"/>
      <x:c r="K91" s="16"/>
      <x:c r="L91" s="16"/>
      <x:c r="M91" s="16"/>
      <x:c r="N91" s="16"/>
      <x:c r="O91" s="16"/>
      <x:c r="P91" s="16"/>
      <x:c r="Q91" s="16"/>
      <x:c r="R91" s="16"/>
      <x:c r="S91" s="16"/>
      <x:c r="T91" s="16"/>
      <x:c r="U91" s="16"/>
      <x:c r="V91" s="16"/>
      <x:c r="W91" s="16"/>
      <x:c r="X91" s="16"/>
      <x:c r="Y91" s="16"/>
    </x:row>
    <x:row r="92">
      <x:c r="A92" s="16"/>
      <x:c r="B92" s="16"/>
      <x:c r="C92" s="16"/>
      <x:c r="D92" s="16"/>
      <x:c r="E92" s="16"/>
      <x:c r="F92" s="16"/>
      <x:c r="G92" s="16"/>
      <x:c r="H92" s="16"/>
      <x:c r="I92" s="16"/>
      <x:c r="J92" s="16"/>
      <x:c r="K92" s="16"/>
      <x:c r="L92" s="16"/>
      <x:c r="M92" s="16"/>
      <x:c r="N92" s="16"/>
      <x:c r="O92" s="16"/>
      <x:c r="P92" s="16"/>
      <x:c r="Q92" s="16"/>
      <x:c r="R92" s="16"/>
      <x:c r="S92" s="16"/>
      <x:c r="T92" s="16"/>
      <x:c r="U92" s="16"/>
      <x:c r="V92" s="16"/>
      <x:c r="W92" s="16"/>
      <x:c r="X92" s="16"/>
      <x:c r="Y92" s="16"/>
    </x:row>
    <x:row r="93">
      <x:c r="A93" s="16"/>
      <x:c r="B93" s="16"/>
      <x:c r="C93" s="16"/>
      <x:c r="D93" s="16"/>
      <x:c r="E93" s="16"/>
      <x:c r="F93" s="16"/>
      <x:c r="G93" s="16"/>
      <x:c r="H93" s="16"/>
      <x:c r="I93" s="16"/>
      <x:c r="J93" s="16"/>
      <x:c r="K93" s="16"/>
      <x:c r="L93" s="16"/>
      <x:c r="M93" s="16"/>
      <x:c r="N93" s="16"/>
      <x:c r="O93" s="16"/>
      <x:c r="P93" s="16"/>
      <x:c r="Q93" s="16"/>
      <x:c r="R93" s="16"/>
      <x:c r="S93" s="16"/>
      <x:c r="T93" s="16"/>
      <x:c r="U93" s="16"/>
      <x:c r="V93" s="16"/>
      <x:c r="W93" s="16"/>
      <x:c r="X93" s="16"/>
      <x:c r="Y93" s="16"/>
    </x:row>
    <x:row r="94">
      <x:c r="A94" s="16"/>
      <x:c r="B94" s="16"/>
      <x:c r="C94" s="16"/>
      <x:c r="D94" s="16"/>
      <x:c r="E94" s="16"/>
      <x:c r="F94" s="16"/>
      <x:c r="G94" s="16"/>
      <x:c r="H94" s="16"/>
      <x:c r="I94" s="16"/>
      <x:c r="J94" s="16"/>
      <x:c r="K94" s="16"/>
      <x:c r="L94" s="16"/>
      <x:c r="M94" s="16"/>
      <x:c r="N94" s="16"/>
      <x:c r="O94" s="16"/>
      <x:c r="P94" s="16"/>
      <x:c r="Q94" s="16"/>
      <x:c r="R94" s="16"/>
      <x:c r="S94" s="16"/>
      <x:c r="T94" s="16"/>
      <x:c r="U94" s="16"/>
      <x:c r="V94" s="16"/>
      <x:c r="W94" s="16"/>
      <x:c r="X94" s="16"/>
      <x:c r="Y94" s="16"/>
    </x:row>
    <x:row r="95">
      <x:c r="A95" s="16"/>
      <x:c r="B95" s="16"/>
      <x:c r="C95" s="16"/>
      <x:c r="D95" s="16"/>
      <x:c r="E95" s="16"/>
      <x:c r="F95" s="16"/>
      <x:c r="G95" s="16"/>
      <x:c r="H95" s="16"/>
      <x:c r="I95" s="16"/>
      <x:c r="J95" s="16"/>
      <x:c r="K95" s="16"/>
      <x:c r="L95" s="16"/>
      <x:c r="M95" s="16"/>
      <x:c r="N95" s="16"/>
      <x:c r="O95" s="16"/>
      <x:c r="P95" s="16"/>
      <x:c r="Q95" s="16"/>
      <x:c r="R95" s="16"/>
      <x:c r="S95" s="16"/>
      <x:c r="T95" s="16"/>
      <x:c r="U95" s="16"/>
      <x:c r="V95" s="16"/>
      <x:c r="W95" s="16"/>
      <x:c r="X95" s="16"/>
      <x:c r="Y95" s="16"/>
    </x:row>
    <x:row r="96">
      <x:c r="A96" s="16"/>
      <x:c r="B96" s="16"/>
      <x:c r="C96" s="16"/>
      <x:c r="D96" s="16"/>
      <x:c r="E96" s="16"/>
      <x:c r="F96" s="16"/>
      <x:c r="G96" s="16"/>
      <x:c r="H96" s="16"/>
      <x:c r="I96" s="16"/>
      <x:c r="J96" s="16"/>
      <x:c r="K96" s="16"/>
      <x:c r="L96" s="16"/>
      <x:c r="M96" s="16"/>
      <x:c r="N96" s="16"/>
      <x:c r="O96" s="16"/>
      <x:c r="P96" s="16"/>
      <x:c r="Q96" s="16"/>
      <x:c r="R96" s="16"/>
      <x:c r="S96" s="16"/>
      <x:c r="T96" s="16"/>
      <x:c r="U96" s="16"/>
      <x:c r="V96" s="16"/>
      <x:c r="W96" s="16"/>
      <x:c r="X96" s="16"/>
      <x:c r="Y96" s="16"/>
    </x:row>
    <x:row r="97">
      <x:c r="A97" s="16"/>
      <x:c r="B97" s="16"/>
      <x:c r="C97" s="16"/>
      <x:c r="D97" s="16"/>
      <x:c r="E97" s="16"/>
      <x:c r="F97" s="16"/>
      <x:c r="G97" s="16"/>
      <x:c r="H97" s="16"/>
      <x:c r="I97" s="16"/>
      <x:c r="J97" s="16"/>
      <x:c r="K97" s="16"/>
      <x:c r="L97" s="16"/>
      <x:c r="M97" s="16"/>
      <x:c r="N97" s="16"/>
      <x:c r="O97" s="16"/>
      <x:c r="P97" s="16"/>
      <x:c r="Q97" s="16"/>
      <x:c r="R97" s="16"/>
      <x:c r="S97" s="16"/>
      <x:c r="T97" s="16"/>
      <x:c r="U97" s="16"/>
      <x:c r="V97" s="16"/>
      <x:c r="W97" s="16"/>
      <x:c r="X97" s="16"/>
      <x:c r="Y97" s="16"/>
    </x:row>
    <x:row r="98">
      <x:c r="A98" s="16"/>
      <x:c r="B98" s="16"/>
      <x:c r="C98" s="16"/>
      <x:c r="D98" s="16"/>
      <x:c r="E98" s="16"/>
      <x:c r="F98" s="16"/>
      <x:c r="G98" s="16"/>
      <x:c r="H98" s="16"/>
      <x:c r="I98" s="16"/>
      <x:c r="J98" s="16"/>
      <x:c r="K98" s="16"/>
      <x:c r="L98" s="16"/>
      <x:c r="M98" s="16"/>
      <x:c r="N98" s="16"/>
      <x:c r="O98" s="16"/>
      <x:c r="P98" s="16"/>
      <x:c r="Q98" s="16"/>
      <x:c r="R98" s="16"/>
      <x:c r="S98" s="16"/>
      <x:c r="T98" s="16"/>
      <x:c r="U98" s="16"/>
      <x:c r="V98" s="16"/>
      <x:c r="W98" s="16"/>
      <x:c r="X98" s="16"/>
      <x:c r="Y98" s="16"/>
    </x:row>
    <x:row r="99">
      <x:c r="A99" s="16"/>
      <x:c r="B99" s="16"/>
      <x:c r="C99" s="16"/>
      <x:c r="D99" s="16"/>
      <x:c r="E99" s="16"/>
      <x:c r="F99" s="16"/>
      <x:c r="G99" s="16"/>
      <x:c r="H99" s="16"/>
      <x:c r="I99" s="16"/>
      <x:c r="J99" s="16"/>
      <x:c r="K99" s="16"/>
      <x:c r="L99" s="16"/>
      <x:c r="M99" s="16"/>
      <x:c r="N99" s="16"/>
      <x:c r="O99" s="16"/>
      <x:c r="P99" s="16"/>
      <x:c r="Q99" s="16"/>
      <x:c r="R99" s="16"/>
      <x:c r="S99" s="16"/>
      <x:c r="T99" s="16"/>
      <x:c r="U99" s="16"/>
      <x:c r="V99" s="16"/>
      <x:c r="W99" s="16"/>
      <x:c r="X99" s="16"/>
      <x:c r="Y99" s="16"/>
    </x:row>
    <x:row r="100">
      <x:c r="A100" s="16"/>
      <x:c r="B100" s="16"/>
      <x:c r="C100" s="16"/>
      <x:c r="D100" s="16"/>
      <x:c r="E100" s="16"/>
      <x:c r="F100" s="16"/>
      <x:c r="G100" s="16"/>
      <x:c r="H100" s="16"/>
      <x:c r="I100" s="16"/>
      <x:c r="J100" s="16"/>
      <x:c r="K100" s="16"/>
      <x:c r="L100" s="16"/>
      <x:c r="M100" s="16"/>
      <x:c r="N100" s="16"/>
      <x:c r="O100" s="16"/>
      <x:c r="P100" s="16"/>
      <x:c r="Q100" s="16"/>
      <x:c r="R100" s="16"/>
      <x:c r="S100" s="16"/>
      <x:c r="T100" s="16"/>
      <x:c r="U100" s="16"/>
      <x:c r="V100" s="16"/>
      <x:c r="W100" s="16"/>
      <x:c r="X100" s="16"/>
      <x:c r="Y100" s="16"/>
    </x:row>
    <x:row r="101">
      <x:c r="A101" s="16"/>
      <x:c r="B101" s="16"/>
      <x:c r="C101" s="16"/>
      <x:c r="D101" s="16"/>
      <x:c r="E101" s="16"/>
      <x:c r="F101" s="16"/>
      <x:c r="G101" s="16"/>
      <x:c r="H101" s="16"/>
      <x:c r="I101" s="16"/>
      <x:c r="J101" s="16"/>
      <x:c r="K101" s="16"/>
      <x:c r="L101" s="16"/>
      <x:c r="M101" s="16"/>
      <x:c r="N101" s="16"/>
      <x:c r="O101" s="16"/>
      <x:c r="P101" s="16"/>
      <x:c r="Q101" s="16"/>
      <x:c r="R101" s="16"/>
      <x:c r="S101" s="16"/>
      <x:c r="T101" s="16"/>
      <x:c r="U101" s="16"/>
      <x:c r="V101" s="16"/>
      <x:c r="W101" s="16"/>
      <x:c r="X101" s="16"/>
      <x:c r="Y101" s="16"/>
    </x:row>
    <x:row r="102">
      <x:c r="A102" s="16"/>
      <x:c r="B102" s="16"/>
      <x:c r="C102" s="16"/>
      <x:c r="D102" s="16"/>
      <x:c r="E102" s="16"/>
      <x:c r="F102" s="16"/>
      <x:c r="G102" s="16"/>
      <x:c r="H102" s="16"/>
      <x:c r="I102" s="16"/>
      <x:c r="J102" s="16"/>
      <x:c r="K102" s="16"/>
      <x:c r="L102" s="16"/>
      <x:c r="M102" s="16"/>
      <x:c r="N102" s="16"/>
      <x:c r="O102" s="16"/>
      <x:c r="P102" s="16"/>
      <x:c r="Q102" s="16"/>
      <x:c r="R102" s="16"/>
      <x:c r="S102" s="16"/>
      <x:c r="T102" s="16"/>
      <x:c r="U102" s="16"/>
      <x:c r="V102" s="16"/>
      <x:c r="W102" s="16"/>
      <x:c r="X102" s="16"/>
      <x:c r="Y102" s="16"/>
    </x:row>
    <x:row r="103">
      <x:c r="A103" s="16"/>
      <x:c r="B103" s="16"/>
      <x:c r="C103" s="16"/>
      <x:c r="D103" s="16"/>
      <x:c r="E103" s="16"/>
      <x:c r="F103" s="16"/>
      <x:c r="G103" s="16"/>
      <x:c r="H103" s="16"/>
      <x:c r="I103" s="16"/>
      <x:c r="J103" s="16"/>
      <x:c r="K103" s="16"/>
      <x:c r="L103" s="16"/>
      <x:c r="M103" s="16"/>
      <x:c r="N103" s="16"/>
      <x:c r="O103" s="16"/>
      <x:c r="P103" s="16"/>
      <x:c r="Q103" s="16"/>
      <x:c r="R103" s="16"/>
      <x:c r="S103" s="16"/>
      <x:c r="T103" s="16"/>
      <x:c r="U103" s="16"/>
      <x:c r="V103" s="16"/>
      <x:c r="W103" s="16"/>
      <x:c r="X103" s="16"/>
      <x:c r="Y103" s="16"/>
    </x:row>
    <x:row r="104">
      <x:c r="A104" s="16"/>
      <x:c r="B104" s="16"/>
      <x:c r="C104" s="16"/>
      <x:c r="D104" s="16"/>
      <x:c r="E104" s="16"/>
      <x:c r="F104" s="16"/>
      <x:c r="G104" s="16"/>
      <x:c r="H104" s="16"/>
      <x:c r="I104" s="16"/>
      <x:c r="J104" s="16"/>
      <x:c r="K104" s="16"/>
      <x:c r="L104" s="16"/>
      <x:c r="M104" s="16"/>
      <x:c r="N104" s="16"/>
      <x:c r="O104" s="16"/>
      <x:c r="P104" s="16"/>
      <x:c r="Q104" s="16"/>
      <x:c r="R104" s="16"/>
      <x:c r="S104" s="16"/>
      <x:c r="T104" s="16"/>
      <x:c r="U104" s="16"/>
      <x:c r="V104" s="16"/>
      <x:c r="W104" s="16"/>
      <x:c r="X104" s="16"/>
      <x:c r="Y104" s="16"/>
    </x:row>
    <x:row r="105">
      <x:c r="A105" s="16"/>
      <x:c r="B105" s="16"/>
      <x:c r="C105" s="16"/>
      <x:c r="D105" s="16"/>
      <x:c r="E105" s="16"/>
      <x:c r="F105" s="16"/>
      <x:c r="G105" s="16"/>
      <x:c r="H105" s="16"/>
      <x:c r="I105" s="16"/>
      <x:c r="J105" s="16"/>
      <x:c r="K105" s="16"/>
      <x:c r="L105" s="16"/>
      <x:c r="M105" s="16"/>
      <x:c r="N105" s="16"/>
      <x:c r="O105" s="16"/>
      <x:c r="P105" s="16"/>
      <x:c r="Q105" s="16"/>
      <x:c r="R105" s="16"/>
      <x:c r="S105" s="16"/>
      <x:c r="T105" s="16"/>
      <x:c r="U105" s="16"/>
      <x:c r="V105" s="16"/>
      <x:c r="W105" s="16"/>
      <x:c r="X105" s="16"/>
      <x:c r="Y105" s="16"/>
    </x:row>
    <x:row r="106">
      <x:c r="A106" s="16"/>
      <x:c r="B106" s="16"/>
      <x:c r="C106" s="16"/>
      <x:c r="D106" s="16"/>
      <x:c r="E106" s="16"/>
      <x:c r="F106" s="16"/>
      <x:c r="G106" s="16"/>
      <x:c r="H106" s="16"/>
      <x:c r="I106" s="16"/>
      <x:c r="J106" s="16"/>
      <x:c r="K106" s="16"/>
      <x:c r="L106" s="16"/>
      <x:c r="M106" s="16"/>
      <x:c r="N106" s="16"/>
      <x:c r="O106" s="16"/>
      <x:c r="P106" s="16"/>
      <x:c r="Q106" s="16"/>
      <x:c r="R106" s="16"/>
      <x:c r="S106" s="16"/>
      <x:c r="T106" s="16"/>
      <x:c r="U106" s="16"/>
      <x:c r="V106" s="16"/>
      <x:c r="W106" s="16"/>
      <x:c r="X106" s="16"/>
      <x:c r="Y106" s="16"/>
    </x:row>
    <x:row r="107">
      <x:c r="A107" s="16"/>
      <x:c r="B107" s="16"/>
      <x:c r="C107" s="16"/>
      <x:c r="D107" s="16"/>
      <x:c r="E107" s="16"/>
      <x:c r="F107" s="16"/>
      <x:c r="G107" s="16"/>
      <x:c r="H107" s="16"/>
      <x:c r="I107" s="16"/>
      <x:c r="J107" s="16"/>
      <x:c r="K107" s="16"/>
      <x:c r="L107" s="16"/>
      <x:c r="M107" s="16"/>
      <x:c r="N107" s="16"/>
      <x:c r="O107" s="16"/>
      <x:c r="P107" s="16"/>
      <x:c r="Q107" s="16"/>
      <x:c r="R107" s="16"/>
      <x:c r="S107" s="16"/>
      <x:c r="T107" s="16"/>
      <x:c r="U107" s="16"/>
      <x:c r="V107" s="16"/>
      <x:c r="W107" s="16"/>
      <x:c r="X107" s="16"/>
      <x:c r="Y107" s="16"/>
    </x:row>
    <x:row r="108">
      <x:c r="A108" s="16"/>
      <x:c r="B108" s="16"/>
      <x:c r="C108" s="16"/>
      <x:c r="D108" s="16"/>
      <x:c r="E108" s="16"/>
      <x:c r="F108" s="16"/>
      <x:c r="G108" s="16"/>
      <x:c r="H108" s="16"/>
      <x:c r="I108" s="16"/>
      <x:c r="J108" s="16"/>
      <x:c r="K108" s="16"/>
      <x:c r="L108" s="16"/>
      <x:c r="M108" s="16"/>
      <x:c r="N108" s="16"/>
      <x:c r="O108" s="16"/>
      <x:c r="P108" s="16"/>
      <x:c r="Q108" s="16"/>
      <x:c r="R108" s="16"/>
      <x:c r="S108" s="16"/>
      <x:c r="T108" s="16"/>
      <x:c r="U108" s="16"/>
      <x:c r="V108" s="16"/>
      <x:c r="W108" s="16"/>
      <x:c r="X108" s="16"/>
      <x:c r="Y108" s="16"/>
    </x:row>
    <x:row r="109">
      <x:c r="A109" s="16"/>
      <x:c r="B109" s="16"/>
      <x:c r="C109" s="16"/>
      <x:c r="D109" s="16"/>
      <x:c r="E109" s="16"/>
      <x:c r="F109" s="16"/>
      <x:c r="G109" s="16"/>
      <x:c r="H109" s="16"/>
      <x:c r="I109" s="16"/>
      <x:c r="J109" s="16"/>
      <x:c r="K109" s="16"/>
      <x:c r="L109" s="16"/>
      <x:c r="M109" s="16"/>
      <x:c r="N109" s="16"/>
      <x:c r="O109" s="16"/>
      <x:c r="P109" s="16"/>
      <x:c r="Q109" s="16"/>
      <x:c r="R109" s="16"/>
      <x:c r="S109" s="16"/>
      <x:c r="T109" s="16"/>
      <x:c r="U109" s="16"/>
      <x:c r="V109" s="16"/>
      <x:c r="W109" s="16"/>
      <x:c r="X109" s="16"/>
      <x:c r="Y109" s="16"/>
    </x:row>
    <x:row r="110">
      <x:c r="A110" s="16"/>
      <x:c r="B110" s="16"/>
      <x:c r="C110" s="16"/>
      <x:c r="D110" s="16"/>
      <x:c r="E110" s="16"/>
      <x:c r="F110" s="16"/>
      <x:c r="G110" s="16"/>
      <x:c r="H110" s="16"/>
      <x:c r="I110" s="16"/>
      <x:c r="J110" s="16"/>
      <x:c r="K110" s="16"/>
      <x:c r="L110" s="16"/>
      <x:c r="M110" s="16"/>
      <x:c r="N110" s="16"/>
      <x:c r="O110" s="16"/>
      <x:c r="P110" s="16"/>
      <x:c r="Q110" s="16"/>
      <x:c r="R110" s="16"/>
      <x:c r="S110" s="16"/>
      <x:c r="T110" s="16"/>
      <x:c r="U110" s="16"/>
      <x:c r="V110" s="16"/>
      <x:c r="W110" s="16"/>
      <x:c r="X110" s="16"/>
      <x:c r="Y110" s="16"/>
    </x:row>
    <x:row r="111">
      <x:c r="A111" s="16"/>
      <x:c r="B111" s="16"/>
      <x:c r="C111" s="16"/>
      <x:c r="D111" s="16"/>
      <x:c r="E111" s="16"/>
      <x:c r="F111" s="16"/>
      <x:c r="G111" s="16"/>
      <x:c r="H111" s="16"/>
      <x:c r="I111" s="16"/>
      <x:c r="J111" s="16"/>
      <x:c r="K111" s="16"/>
      <x:c r="L111" s="16"/>
      <x:c r="M111" s="16"/>
      <x:c r="N111" s="16"/>
      <x:c r="O111" s="16"/>
      <x:c r="P111" s="16"/>
      <x:c r="Q111" s="16"/>
      <x:c r="R111" s="16"/>
      <x:c r="S111" s="16"/>
      <x:c r="T111" s="16"/>
      <x:c r="U111" s="16"/>
      <x:c r="V111" s="16"/>
      <x:c r="W111" s="16"/>
      <x:c r="X111" s="16"/>
      <x:c r="Y111" s="16"/>
    </x:row>
    <x:row r="112">
      <x:c r="A112" s="16"/>
      <x:c r="B112" s="16"/>
      <x:c r="C112" s="16"/>
      <x:c r="D112" s="16"/>
      <x:c r="E112" s="16"/>
      <x:c r="F112" s="16"/>
      <x:c r="G112" s="16"/>
      <x:c r="H112" s="16"/>
      <x:c r="I112" s="16"/>
      <x:c r="J112" s="16"/>
      <x:c r="K112" s="16"/>
      <x:c r="L112" s="16"/>
      <x:c r="M112" s="16"/>
      <x:c r="N112" s="16"/>
      <x:c r="O112" s="16"/>
      <x:c r="P112" s="16"/>
      <x:c r="Q112" s="16"/>
      <x:c r="R112" s="16"/>
      <x:c r="S112" s="16"/>
      <x:c r="T112" s="16"/>
      <x:c r="U112" s="16"/>
      <x:c r="V112" s="16"/>
      <x:c r="W112" s="16"/>
      <x:c r="X112" s="16"/>
      <x:c r="Y112" s="16"/>
    </x:row>
    <x:row r="113">
      <x:c r="A113" s="16"/>
      <x:c r="B113" s="16"/>
      <x:c r="C113" s="16"/>
      <x:c r="D113" s="16"/>
      <x:c r="E113" s="16"/>
      <x:c r="F113" s="16"/>
      <x:c r="G113" s="16"/>
      <x:c r="H113" s="16"/>
      <x:c r="I113" s="16"/>
      <x:c r="J113" s="16"/>
      <x:c r="K113" s="16"/>
      <x:c r="L113" s="16"/>
      <x:c r="M113" s="16"/>
      <x:c r="N113" s="16"/>
      <x:c r="O113" s="16"/>
      <x:c r="P113" s="16"/>
      <x:c r="Q113" s="16"/>
      <x:c r="R113" s="16"/>
      <x:c r="S113" s="16"/>
      <x:c r="T113" s="16"/>
      <x:c r="U113" s="16"/>
      <x:c r="V113" s="16"/>
      <x:c r="W113" s="16"/>
      <x:c r="X113" s="16"/>
      <x:c r="Y113" s="16"/>
    </x:row>
    <x:row r="114">
      <x:c r="A114" s="16"/>
      <x:c r="B114" s="16"/>
      <x:c r="C114" s="16"/>
      <x:c r="D114" s="16"/>
      <x:c r="E114" s="16"/>
      <x:c r="F114" s="16"/>
      <x:c r="G114" s="16"/>
      <x:c r="H114" s="16"/>
      <x:c r="I114" s="16"/>
      <x:c r="J114" s="16"/>
      <x:c r="K114" s="16"/>
      <x:c r="L114" s="16"/>
      <x:c r="M114" s="16"/>
      <x:c r="N114" s="16"/>
      <x:c r="O114" s="16"/>
      <x:c r="P114" s="16"/>
      <x:c r="Q114" s="16"/>
      <x:c r="R114" s="16"/>
      <x:c r="S114" s="16"/>
      <x:c r="T114" s="16"/>
      <x:c r="U114" s="16"/>
      <x:c r="V114" s="16"/>
      <x:c r="W114" s="16"/>
      <x:c r="X114" s="16"/>
      <x:c r="Y114" s="16"/>
    </x:row>
    <x:row r="115">
      <x:c r="A115" s="16"/>
      <x:c r="B115" s="16"/>
      <x:c r="C115" s="16"/>
      <x:c r="D115" s="16"/>
      <x:c r="E115" s="16"/>
      <x:c r="F115" s="16"/>
      <x:c r="G115" s="16"/>
      <x:c r="H115" s="16"/>
      <x:c r="I115" s="16"/>
      <x:c r="J115" s="16"/>
      <x:c r="K115" s="16"/>
      <x:c r="L115" s="16"/>
      <x:c r="M115" s="16"/>
      <x:c r="N115" s="16"/>
      <x:c r="O115" s="16"/>
      <x:c r="P115" s="16"/>
      <x:c r="Q115" s="16"/>
      <x:c r="R115" s="16"/>
      <x:c r="S115" s="16"/>
      <x:c r="T115" s="16"/>
      <x:c r="U115" s="16"/>
      <x:c r="V115" s="16"/>
      <x:c r="W115" s="16"/>
      <x:c r="X115" s="16"/>
      <x:c r="Y115" s="16"/>
    </x:row>
    <x:row r="116">
      <x:c r="A116" s="16"/>
      <x:c r="B116" s="16"/>
      <x:c r="C116" s="16"/>
      <x:c r="D116" s="16"/>
      <x:c r="E116" s="16"/>
      <x:c r="F116" s="16"/>
      <x:c r="G116" s="16"/>
      <x:c r="H116" s="16"/>
      <x:c r="I116" s="16"/>
      <x:c r="J116" s="16"/>
      <x:c r="K116" s="16"/>
      <x:c r="L116" s="16"/>
      <x:c r="M116" s="16"/>
      <x:c r="N116" s="16"/>
      <x:c r="O116" s="16"/>
      <x:c r="P116" s="16"/>
      <x:c r="Q116" s="16"/>
      <x:c r="R116" s="16"/>
      <x:c r="S116" s="16"/>
      <x:c r="T116" s="16"/>
      <x:c r="U116" s="16"/>
      <x:c r="V116" s="16"/>
      <x:c r="W116" s="16"/>
      <x:c r="X116" s="16"/>
      <x:c r="Y116" s="16"/>
    </x:row>
    <x:row r="117">
      <x:c r="A117" s="16"/>
      <x:c r="B117" s="16"/>
      <x:c r="C117" s="16"/>
      <x:c r="D117" s="16"/>
      <x:c r="E117" s="16"/>
      <x:c r="F117" s="16"/>
      <x:c r="G117" s="16"/>
      <x:c r="H117" s="16"/>
      <x:c r="I117" s="16"/>
      <x:c r="J117" s="16"/>
      <x:c r="K117" s="16"/>
      <x:c r="L117" s="16"/>
      <x:c r="M117" s="16"/>
      <x:c r="N117" s="16"/>
      <x:c r="O117" s="16"/>
      <x:c r="P117" s="16"/>
      <x:c r="Q117" s="16"/>
      <x:c r="R117" s="16"/>
      <x:c r="S117" s="16"/>
      <x:c r="T117" s="16"/>
      <x:c r="U117" s="16"/>
      <x:c r="V117" s="16"/>
      <x:c r="W117" s="16"/>
      <x:c r="X117" s="16"/>
      <x:c r="Y117" s="16"/>
    </x:row>
    <x:row r="118">
      <x:c r="A118" s="16"/>
      <x:c r="B118" s="16"/>
      <x:c r="C118" s="16"/>
      <x:c r="D118" s="16"/>
      <x:c r="E118" s="16"/>
      <x:c r="F118" s="16"/>
      <x:c r="G118" s="16"/>
      <x:c r="H118" s="16"/>
      <x:c r="I118" s="16"/>
      <x:c r="J118" s="16"/>
      <x:c r="K118" s="16"/>
      <x:c r="L118" s="16"/>
      <x:c r="M118" s="16"/>
      <x:c r="N118" s="16"/>
      <x:c r="O118" s="16"/>
      <x:c r="P118" s="16"/>
      <x:c r="Q118" s="16"/>
      <x:c r="R118" s="16"/>
      <x:c r="S118" s="16"/>
      <x:c r="T118" s="16"/>
      <x:c r="U118" s="16"/>
      <x:c r="V118" s="16"/>
      <x:c r="W118" s="16"/>
      <x:c r="X118" s="16"/>
      <x:c r="Y118" s="16"/>
    </x:row>
    <x:row r="119">
      <x:c r="A119" s="16"/>
      <x:c r="B119" s="16"/>
      <x:c r="C119" s="16"/>
      <x:c r="D119" s="16"/>
      <x:c r="E119" s="16"/>
      <x:c r="F119" s="16"/>
      <x:c r="G119" s="16"/>
      <x:c r="H119" s="16"/>
      <x:c r="I119" s="16"/>
      <x:c r="J119" s="16"/>
      <x:c r="K119" s="16"/>
      <x:c r="L119" s="16"/>
      <x:c r="M119" s="16"/>
      <x:c r="N119" s="16"/>
      <x:c r="O119" s="16"/>
      <x:c r="P119" s="16"/>
      <x:c r="Q119" s="16"/>
      <x:c r="R119" s="16"/>
      <x:c r="S119" s="16"/>
      <x:c r="T119" s="16"/>
      <x:c r="U119" s="16"/>
      <x:c r="V119" s="16"/>
      <x:c r="W119" s="16"/>
      <x:c r="X119" s="16"/>
      <x:c r="Y119" s="16"/>
    </x:row>
    <x:row r="120">
      <x:c r="A120" s="16"/>
      <x:c r="B120" s="16"/>
      <x:c r="C120" s="16"/>
      <x:c r="D120" s="16"/>
      <x:c r="E120" s="16"/>
      <x:c r="F120" s="16"/>
      <x:c r="G120" s="16"/>
      <x:c r="H120" s="16"/>
      <x:c r="I120" s="16"/>
      <x:c r="J120" s="16"/>
      <x:c r="K120" s="16"/>
      <x:c r="L120" s="16"/>
      <x:c r="M120" s="16"/>
      <x:c r="N120" s="16"/>
      <x:c r="O120" s="16"/>
      <x:c r="P120" s="16"/>
      <x:c r="Q120" s="16"/>
      <x:c r="R120" s="16"/>
      <x:c r="S120" s="16"/>
      <x:c r="T120" s="16"/>
      <x:c r="U120" s="16"/>
      <x:c r="V120" s="16"/>
      <x:c r="W120" s="16"/>
      <x:c r="X120" s="16"/>
      <x:c r="Y120" s="16"/>
    </x:row>
    <x:row r="121">
      <x:c r="A121" s="16"/>
      <x:c r="B121" s="16"/>
      <x:c r="C121" s="16"/>
      <x:c r="D121" s="16"/>
      <x:c r="E121" s="16"/>
      <x:c r="F121" s="16"/>
      <x:c r="G121" s="16"/>
      <x:c r="H121" s="16"/>
      <x:c r="I121" s="16"/>
      <x:c r="J121" s="16"/>
      <x:c r="K121" s="16"/>
      <x:c r="L121" s="16"/>
      <x:c r="M121" s="16"/>
      <x:c r="N121" s="16"/>
      <x:c r="O121" s="16"/>
      <x:c r="P121" s="16"/>
      <x:c r="Q121" s="16"/>
      <x:c r="R121" s="16"/>
      <x:c r="S121" s="16"/>
      <x:c r="T121" s="16"/>
      <x:c r="U121" s="16"/>
      <x:c r="V121" s="16"/>
      <x:c r="W121" s="16"/>
      <x:c r="X121" s="16"/>
      <x:c r="Y121" s="16"/>
    </x:row>
    <x:row r="122">
      <x:c r="A122" s="16"/>
      <x:c r="B122" s="16"/>
      <x:c r="C122" s="16"/>
      <x:c r="D122" s="16"/>
      <x:c r="E122" s="16"/>
      <x:c r="F122" s="16"/>
      <x:c r="G122" s="16"/>
      <x:c r="H122" s="16"/>
      <x:c r="I122" s="16"/>
      <x:c r="J122" s="16"/>
      <x:c r="K122" s="16"/>
      <x:c r="L122" s="16"/>
      <x:c r="M122" s="16"/>
      <x:c r="N122" s="16"/>
      <x:c r="O122" s="16"/>
      <x:c r="P122" s="16"/>
      <x:c r="Q122" s="16"/>
      <x:c r="R122" s="16"/>
      <x:c r="S122" s="16"/>
      <x:c r="T122" s="16"/>
      <x:c r="U122" s="16"/>
      <x:c r="V122" s="16"/>
      <x:c r="W122" s="16"/>
      <x:c r="X122" s="16"/>
      <x:c r="Y122" s="16"/>
    </x:row>
    <x:row r="123">
      <x:c r="A123" s="16"/>
      <x:c r="B123" s="16"/>
      <x:c r="C123" s="16"/>
      <x:c r="D123" s="16"/>
      <x:c r="E123" s="16"/>
      <x:c r="F123" s="16"/>
      <x:c r="G123" s="16"/>
      <x:c r="H123" s="16"/>
      <x:c r="I123" s="16"/>
      <x:c r="J123" s="16"/>
      <x:c r="K123" s="16"/>
      <x:c r="L123" s="16"/>
      <x:c r="M123" s="16"/>
      <x:c r="N123" s="16"/>
      <x:c r="O123" s="16"/>
      <x:c r="P123" s="16"/>
      <x:c r="Q123" s="16"/>
      <x:c r="R123" s="16"/>
      <x:c r="S123" s="16"/>
      <x:c r="T123" s="16"/>
      <x:c r="U123" s="16"/>
      <x:c r="V123" s="16"/>
      <x:c r="W123" s="16"/>
      <x:c r="X123" s="16"/>
      <x:c r="Y123" s="16"/>
    </x:row>
    <x:row r="124">
      <x:c r="A124" s="16"/>
      <x:c r="B124" s="16"/>
      <x:c r="C124" s="16"/>
      <x:c r="D124" s="16"/>
      <x:c r="E124" s="16"/>
      <x:c r="F124" s="16"/>
      <x:c r="G124" s="16"/>
      <x:c r="H124" s="16"/>
      <x:c r="I124" s="16"/>
      <x:c r="J124" s="16"/>
      <x:c r="K124" s="16"/>
      <x:c r="L124" s="16"/>
      <x:c r="M124" s="16"/>
      <x:c r="N124" s="16"/>
      <x:c r="O124" s="16"/>
      <x:c r="P124" s="16"/>
      <x:c r="Q124" s="16"/>
      <x:c r="R124" s="16"/>
      <x:c r="S124" s="16"/>
      <x:c r="T124" s="16"/>
      <x:c r="U124" s="16"/>
      <x:c r="V124" s="16"/>
      <x:c r="W124" s="16"/>
      <x:c r="X124" s="16"/>
      <x:c r="Y124" s="16"/>
    </x:row>
    <x:row r="125">
      <x:c r="A125" s="16"/>
      <x:c r="B125" s="16"/>
      <x:c r="C125" s="16"/>
      <x:c r="D125" s="16"/>
      <x:c r="E125" s="16"/>
      <x:c r="F125" s="16"/>
      <x:c r="G125" s="16"/>
      <x:c r="H125" s="16"/>
      <x:c r="I125" s="16"/>
      <x:c r="J125" s="16"/>
      <x:c r="K125" s="16"/>
      <x:c r="L125" s="16"/>
      <x:c r="M125" s="16"/>
      <x:c r="N125" s="16"/>
      <x:c r="O125" s="16"/>
      <x:c r="P125" s="16"/>
      <x:c r="Q125" s="16"/>
      <x:c r="R125" s="16"/>
      <x:c r="S125" s="16"/>
      <x:c r="T125" s="16"/>
      <x:c r="U125" s="16"/>
      <x:c r="V125" s="16"/>
      <x:c r="W125" s="16"/>
      <x:c r="X125" s="16"/>
      <x:c r="Y125" s="16"/>
    </x:row>
    <x:row r="126">
      <x:c r="A126" s="16"/>
      <x:c r="B126" s="16"/>
      <x:c r="C126" s="16"/>
      <x:c r="D126" s="16"/>
      <x:c r="E126" s="16"/>
      <x:c r="F126" s="16"/>
      <x:c r="G126" s="16"/>
      <x:c r="H126" s="16"/>
      <x:c r="I126" s="16"/>
      <x:c r="J126" s="16"/>
      <x:c r="K126" s="16"/>
      <x:c r="L126" s="16"/>
      <x:c r="M126" s="16"/>
      <x:c r="N126" s="16"/>
      <x:c r="O126" s="16"/>
      <x:c r="P126" s="16"/>
      <x:c r="Q126" s="16"/>
      <x:c r="R126" s="16"/>
      <x:c r="S126" s="16"/>
      <x:c r="T126" s="16"/>
      <x:c r="U126" s="16"/>
      <x:c r="V126" s="16"/>
      <x:c r="W126" s="16"/>
      <x:c r="X126" s="16"/>
      <x:c r="Y126" s="16"/>
    </x:row>
    <x:row r="127">
      <x:c r="A127" s="16"/>
      <x:c r="B127" s="16"/>
      <x:c r="C127" s="16"/>
      <x:c r="D127" s="16"/>
      <x:c r="E127" s="16"/>
      <x:c r="F127" s="16"/>
      <x:c r="G127" s="16"/>
      <x:c r="H127" s="16"/>
      <x:c r="I127" s="16"/>
      <x:c r="J127" s="16"/>
      <x:c r="K127" s="16"/>
      <x:c r="L127" s="16"/>
      <x:c r="M127" s="16"/>
      <x:c r="N127" s="16"/>
      <x:c r="O127" s="16"/>
      <x:c r="P127" s="16"/>
      <x:c r="Q127" s="16"/>
      <x:c r="R127" s="16"/>
      <x:c r="S127" s="16"/>
      <x:c r="T127" s="16"/>
      <x:c r="U127" s="16"/>
      <x:c r="V127" s="16"/>
      <x:c r="W127" s="16"/>
      <x:c r="X127" s="16"/>
      <x:c r="Y127" s="16"/>
    </x:row>
    <x:row r="128">
      <x:c r="A128" s="16"/>
      <x:c r="B128" s="16"/>
      <x:c r="C128" s="16"/>
      <x:c r="D128" s="16"/>
      <x:c r="E128" s="16"/>
      <x:c r="F128" s="16"/>
      <x:c r="G128" s="16"/>
      <x:c r="H128" s="16"/>
      <x:c r="I128" s="16"/>
      <x:c r="J128" s="16"/>
      <x:c r="K128" s="16"/>
      <x:c r="L128" s="16"/>
      <x:c r="M128" s="16"/>
      <x:c r="N128" s="16"/>
      <x:c r="O128" s="16"/>
      <x:c r="P128" s="16"/>
      <x:c r="Q128" s="16"/>
      <x:c r="R128" s="16"/>
      <x:c r="S128" s="16"/>
      <x:c r="T128" s="16"/>
      <x:c r="U128" s="16"/>
      <x:c r="V128" s="16"/>
      <x:c r="W128" s="16"/>
      <x:c r="X128" s="16"/>
      <x:c r="Y128" s="16"/>
    </x:row>
    <x:row r="129">
      <x:c r="A129" s="16"/>
      <x:c r="B129" s="16"/>
      <x:c r="C129" s="16"/>
      <x:c r="D129" s="16"/>
      <x:c r="E129" s="16"/>
      <x:c r="F129" s="16"/>
      <x:c r="G129" s="16"/>
      <x:c r="H129" s="16"/>
      <x:c r="I129" s="16"/>
      <x:c r="J129" s="16"/>
      <x:c r="K129" s="16"/>
      <x:c r="L129" s="16"/>
      <x:c r="M129" s="16"/>
      <x:c r="N129" s="16"/>
      <x:c r="O129" s="16"/>
      <x:c r="P129" s="16"/>
      <x:c r="Q129" s="16"/>
      <x:c r="R129" s="16"/>
      <x:c r="S129" s="16"/>
      <x:c r="T129" s="16"/>
      <x:c r="U129" s="16"/>
      <x:c r="V129" s="16"/>
      <x:c r="W129" s="16"/>
      <x:c r="X129" s="16"/>
      <x:c r="Y129" s="16"/>
    </x:row>
    <x:row r="130">
      <x:c r="A130" s="16"/>
      <x:c r="B130" s="16"/>
      <x:c r="C130" s="16"/>
      <x:c r="D130" s="16"/>
      <x:c r="E130" s="16"/>
      <x:c r="F130" s="16"/>
      <x:c r="G130" s="16"/>
      <x:c r="H130" s="16"/>
      <x:c r="I130" s="16"/>
      <x:c r="J130" s="16"/>
      <x:c r="K130" s="16"/>
      <x:c r="L130" s="16"/>
      <x:c r="M130" s="16"/>
      <x:c r="N130" s="16"/>
      <x:c r="O130" s="16"/>
      <x:c r="P130" s="16"/>
      <x:c r="Q130" s="16"/>
      <x:c r="R130" s="16"/>
      <x:c r="S130" s="16"/>
      <x:c r="T130" s="16"/>
      <x:c r="U130" s="16"/>
      <x:c r="V130" s="16"/>
      <x:c r="W130" s="16"/>
      <x:c r="X130" s="16"/>
      <x:c r="Y130" s="16"/>
    </x:row>
    <x:row r="131">
      <x:c r="A131" s="16"/>
      <x:c r="B131" s="16"/>
      <x:c r="C131" s="16"/>
      <x:c r="D131" s="16"/>
      <x:c r="E131" s="16"/>
      <x:c r="F131" s="16"/>
      <x:c r="G131" s="16"/>
      <x:c r="H131" s="16"/>
      <x:c r="I131" s="16"/>
      <x:c r="J131" s="16"/>
      <x:c r="K131" s="16"/>
      <x:c r="L131" s="16"/>
      <x:c r="M131" s="16"/>
      <x:c r="N131" s="16"/>
      <x:c r="O131" s="16"/>
      <x:c r="P131" s="16"/>
      <x:c r="Q131" s="16"/>
      <x:c r="R131" s="16"/>
      <x:c r="S131" s="16"/>
      <x:c r="T131" s="16"/>
      <x:c r="U131" s="16"/>
      <x:c r="V131" s="16"/>
      <x:c r="W131" s="16"/>
      <x:c r="X131" s="16"/>
      <x:c r="Y131" s="16"/>
    </x:row>
    <x:row r="132">
      <x:c r="A132" s="16"/>
      <x:c r="B132" s="16"/>
      <x:c r="C132" s="16"/>
      <x:c r="D132" s="16"/>
      <x:c r="E132" s="16"/>
      <x:c r="F132" s="16"/>
      <x:c r="G132" s="16"/>
      <x:c r="H132" s="16"/>
      <x:c r="I132" s="16"/>
      <x:c r="J132" s="16"/>
      <x:c r="K132" s="16"/>
      <x:c r="L132" s="16"/>
      <x:c r="M132" s="16"/>
      <x:c r="N132" s="16"/>
      <x:c r="O132" s="16"/>
      <x:c r="P132" s="16"/>
      <x:c r="Q132" s="16"/>
      <x:c r="R132" s="16"/>
      <x:c r="S132" s="16"/>
      <x:c r="T132" s="16"/>
      <x:c r="U132" s="16"/>
      <x:c r="V132" s="16"/>
      <x:c r="W132" s="16"/>
      <x:c r="X132" s="16"/>
      <x:c r="Y132" s="16"/>
    </x:row>
    <x:row r="133">
      <x:c r="A133" s="16"/>
      <x:c r="B133" s="16"/>
      <x:c r="C133" s="16"/>
      <x:c r="D133" s="16"/>
      <x:c r="E133" s="16"/>
      <x:c r="F133" s="16"/>
      <x:c r="G133" s="16"/>
      <x:c r="H133" s="16"/>
      <x:c r="I133" s="16"/>
      <x:c r="J133" s="16"/>
      <x:c r="K133" s="16"/>
      <x:c r="L133" s="16"/>
      <x:c r="M133" s="16"/>
      <x:c r="N133" s="16"/>
      <x:c r="O133" s="16"/>
      <x:c r="P133" s="16"/>
      <x:c r="Q133" s="16"/>
      <x:c r="R133" s="16"/>
      <x:c r="S133" s="16"/>
      <x:c r="T133" s="16"/>
      <x:c r="U133" s="16"/>
      <x:c r="V133" s="16"/>
      <x:c r="W133" s="16"/>
      <x:c r="X133" s="16"/>
      <x:c r="Y133" s="16"/>
    </x:row>
    <x:row r="134">
      <x:c r="A134" s="16"/>
      <x:c r="B134" s="16"/>
      <x:c r="C134" s="16"/>
      <x:c r="D134" s="16"/>
      <x:c r="E134" s="16"/>
      <x:c r="F134" s="16"/>
      <x:c r="G134" s="16"/>
      <x:c r="H134" s="16"/>
      <x:c r="I134" s="16"/>
      <x:c r="J134" s="16"/>
      <x:c r="K134" s="16"/>
      <x:c r="L134" s="16"/>
      <x:c r="M134" s="16"/>
      <x:c r="N134" s="16"/>
      <x:c r="O134" s="16"/>
      <x:c r="P134" s="16"/>
      <x:c r="Q134" s="16"/>
      <x:c r="R134" s="16"/>
      <x:c r="S134" s="16"/>
      <x:c r="T134" s="16"/>
      <x:c r="U134" s="16"/>
      <x:c r="V134" s="16"/>
      <x:c r="W134" s="16"/>
      <x:c r="X134" s="16"/>
      <x:c r="Y134" s="16"/>
    </x:row>
    <x:row r="135">
      <x:c r="A135" s="16"/>
      <x:c r="B135" s="16"/>
      <x:c r="C135" s="16"/>
      <x:c r="D135" s="16"/>
      <x:c r="E135" s="16"/>
      <x:c r="F135" s="16"/>
      <x:c r="G135" s="16"/>
      <x:c r="H135" s="16"/>
      <x:c r="I135" s="16"/>
      <x:c r="J135" s="16"/>
      <x:c r="K135" s="16"/>
      <x:c r="L135" s="16"/>
      <x:c r="M135" s="16"/>
      <x:c r="N135" s="16"/>
      <x:c r="O135" s="16"/>
      <x:c r="P135" s="16"/>
      <x:c r="Q135" s="16"/>
      <x:c r="R135" s="16"/>
      <x:c r="S135" s="16"/>
      <x:c r="T135" s="16"/>
      <x:c r="U135" s="16"/>
      <x:c r="V135" s="16"/>
      <x:c r="W135" s="16"/>
      <x:c r="X135" s="16"/>
      <x:c r="Y135" s="16"/>
    </x:row>
    <x:row r="136">
      <x:c r="A136" s="16"/>
      <x:c r="B136" s="16"/>
      <x:c r="C136" s="16"/>
      <x:c r="D136" s="16"/>
      <x:c r="E136" s="16"/>
      <x:c r="F136" s="16"/>
      <x:c r="G136" s="16"/>
      <x:c r="H136" s="16"/>
      <x:c r="I136" s="16"/>
      <x:c r="J136" s="16"/>
      <x:c r="K136" s="16"/>
      <x:c r="L136" s="16"/>
      <x:c r="M136" s="16"/>
      <x:c r="N136" s="16"/>
      <x:c r="O136" s="16"/>
      <x:c r="P136" s="16"/>
      <x:c r="Q136" s="16"/>
      <x:c r="R136" s="16"/>
      <x:c r="S136" s="16"/>
      <x:c r="T136" s="16"/>
      <x:c r="U136" s="16"/>
      <x:c r="V136" s="16"/>
      <x:c r="W136" s="16"/>
      <x:c r="X136" s="16"/>
      <x:c r="Y136" s="16"/>
    </x:row>
    <x:row r="137">
      <x:c r="A137" s="16"/>
      <x:c r="B137" s="16"/>
      <x:c r="C137" s="16"/>
      <x:c r="D137" s="16"/>
      <x:c r="E137" s="16"/>
      <x:c r="F137" s="16"/>
      <x:c r="G137" s="16"/>
      <x:c r="H137" s="16"/>
      <x:c r="I137" s="16"/>
      <x:c r="J137" s="16"/>
      <x:c r="K137" s="16"/>
      <x:c r="L137" s="16"/>
      <x:c r="M137" s="16"/>
      <x:c r="N137" s="16"/>
      <x:c r="O137" s="16"/>
      <x:c r="P137" s="16"/>
      <x:c r="Q137" s="16"/>
      <x:c r="R137" s="16"/>
      <x:c r="S137" s="16"/>
      <x:c r="T137" s="16"/>
      <x:c r="U137" s="16"/>
      <x:c r="V137" s="16"/>
      <x:c r="W137" s="16"/>
      <x:c r="X137" s="16"/>
      <x:c r="Y137" s="16"/>
    </x:row>
    <x:row r="138">
      <x:c r="A138" s="16"/>
      <x:c r="B138" s="16"/>
      <x:c r="C138" s="16"/>
      <x:c r="D138" s="16"/>
      <x:c r="E138" s="16"/>
      <x:c r="F138" s="16"/>
      <x:c r="G138" s="16"/>
      <x:c r="H138" s="16"/>
      <x:c r="I138" s="16"/>
      <x:c r="J138" s="16"/>
      <x:c r="K138" s="16"/>
      <x:c r="L138" s="16"/>
      <x:c r="M138" s="16"/>
      <x:c r="N138" s="16"/>
      <x:c r="O138" s="16"/>
      <x:c r="P138" s="16"/>
      <x:c r="Q138" s="16"/>
      <x:c r="R138" s="16"/>
      <x:c r="S138" s="16"/>
      <x:c r="T138" s="16"/>
      <x:c r="U138" s="16"/>
      <x:c r="V138" s="16"/>
      <x:c r="W138" s="16"/>
      <x:c r="X138" s="16"/>
      <x:c r="Y138" s="16"/>
    </x:row>
    <x:row r="139">
      <x:c r="A139" s="16"/>
      <x:c r="B139" s="16"/>
      <x:c r="C139" s="16"/>
      <x:c r="D139" s="16"/>
      <x:c r="E139" s="16"/>
      <x:c r="F139" s="16"/>
      <x:c r="G139" s="16"/>
      <x:c r="H139" s="16"/>
      <x:c r="I139" s="16"/>
      <x:c r="J139" s="16"/>
      <x:c r="K139" s="16"/>
      <x:c r="L139" s="16"/>
      <x:c r="M139" s="16"/>
      <x:c r="N139" s="16"/>
      <x:c r="O139" s="16"/>
      <x:c r="P139" s="16"/>
      <x:c r="Q139" s="16"/>
      <x:c r="R139" s="16"/>
      <x:c r="S139" s="16"/>
      <x:c r="T139" s="16"/>
      <x:c r="U139" s="16"/>
      <x:c r="V139" s="16"/>
      <x:c r="W139" s="16"/>
      <x:c r="X139" s="16"/>
      <x:c r="Y139" s="16"/>
    </x:row>
    <x:row r="140">
      <x:c r="A140" s="16"/>
      <x:c r="B140" s="16"/>
      <x:c r="C140" s="16"/>
      <x:c r="D140" s="16"/>
      <x:c r="E140" s="16"/>
      <x:c r="F140" s="16"/>
      <x:c r="G140" s="16"/>
      <x:c r="H140" s="16"/>
      <x:c r="I140" s="16"/>
      <x:c r="J140" s="16"/>
      <x:c r="K140" s="16"/>
      <x:c r="L140" s="16"/>
      <x:c r="M140" s="16"/>
      <x:c r="N140" s="16"/>
      <x:c r="O140" s="16"/>
      <x:c r="P140" s="16"/>
      <x:c r="Q140" s="16"/>
      <x:c r="R140" s="16"/>
      <x:c r="S140" s="16"/>
      <x:c r="T140" s="16"/>
      <x:c r="U140" s="16"/>
      <x:c r="V140" s="16"/>
      <x:c r="W140" s="16"/>
      <x:c r="X140" s="16"/>
      <x:c r="Y140" s="16"/>
    </x:row>
    <x:row r="141">
      <x:c r="A141" s="16"/>
      <x:c r="B141" s="16"/>
      <x:c r="C141" s="16"/>
      <x:c r="D141" s="16"/>
      <x:c r="E141" s="16"/>
      <x:c r="F141" s="16"/>
      <x:c r="G141" s="16"/>
      <x:c r="H141" s="16"/>
      <x:c r="I141" s="16"/>
      <x:c r="J141" s="16"/>
      <x:c r="K141" s="16"/>
      <x:c r="L141" s="16"/>
      <x:c r="M141" s="16"/>
      <x:c r="N141" s="16"/>
      <x:c r="O141" s="16"/>
      <x:c r="P141" s="16"/>
      <x:c r="Q141" s="16"/>
      <x:c r="R141" s="16"/>
      <x:c r="S141" s="16"/>
      <x:c r="T141" s="16"/>
      <x:c r="U141" s="16"/>
      <x:c r="V141" s="16"/>
      <x:c r="W141" s="16"/>
      <x:c r="X141" s="16"/>
      <x:c r="Y141" s="16"/>
    </x:row>
    <x:row r="142">
      <x:c r="A142" s="16"/>
      <x:c r="B142" s="16"/>
      <x:c r="C142" s="16"/>
      <x:c r="D142" s="16"/>
      <x:c r="E142" s="16"/>
      <x:c r="F142" s="16"/>
      <x:c r="G142" s="16"/>
      <x:c r="H142" s="16"/>
      <x:c r="I142" s="16"/>
      <x:c r="J142" s="16"/>
      <x:c r="K142" s="16"/>
      <x:c r="L142" s="16"/>
      <x:c r="M142" s="16"/>
      <x:c r="N142" s="16"/>
      <x:c r="O142" s="16"/>
      <x:c r="P142" s="16"/>
      <x:c r="Q142" s="16"/>
      <x:c r="R142" s="16"/>
      <x:c r="S142" s="16"/>
      <x:c r="T142" s="16"/>
      <x:c r="U142" s="16"/>
      <x:c r="V142" s="16"/>
      <x:c r="W142" s="16"/>
      <x:c r="X142" s="16"/>
      <x:c r="Y142" s="16"/>
    </x:row>
    <x:row r="143">
      <x:c r="A143" s="16"/>
      <x:c r="B143" s="16"/>
      <x:c r="C143" s="16"/>
      <x:c r="D143" s="16"/>
      <x:c r="E143" s="16"/>
      <x:c r="F143" s="16"/>
      <x:c r="G143" s="16"/>
      <x:c r="H143" s="16"/>
      <x:c r="I143" s="16"/>
      <x:c r="J143" s="16"/>
      <x:c r="K143" s="16"/>
      <x:c r="L143" s="16"/>
      <x:c r="M143" s="16"/>
      <x:c r="N143" s="16"/>
      <x:c r="O143" s="16"/>
      <x:c r="P143" s="16"/>
      <x:c r="Q143" s="16"/>
      <x:c r="R143" s="16"/>
      <x:c r="S143" s="16"/>
      <x:c r="T143" s="16"/>
      <x:c r="U143" s="16"/>
      <x:c r="V143" s="16"/>
      <x:c r="W143" s="16"/>
      <x:c r="X143" s="16"/>
      <x:c r="Y143" s="16"/>
    </x:row>
    <x:row r="144">
      <x:c r="A144" s="16"/>
      <x:c r="B144" s="16"/>
      <x:c r="C144" s="16"/>
      <x:c r="D144" s="16"/>
      <x:c r="E144" s="16"/>
      <x:c r="F144" s="16"/>
      <x:c r="G144" s="16"/>
      <x:c r="H144" s="16"/>
      <x:c r="I144" s="16"/>
      <x:c r="J144" s="16"/>
      <x:c r="K144" s="16"/>
      <x:c r="L144" s="16"/>
      <x:c r="M144" s="16"/>
      <x:c r="N144" s="16"/>
      <x:c r="O144" s="16"/>
      <x:c r="P144" s="16"/>
      <x:c r="Q144" s="16"/>
      <x:c r="R144" s="16"/>
      <x:c r="S144" s="16"/>
      <x:c r="T144" s="16"/>
      <x:c r="U144" s="16"/>
      <x:c r="V144" s="16"/>
      <x:c r="W144" s="16"/>
      <x:c r="X144" s="16"/>
      <x:c r="Y144" s="16"/>
    </x:row>
    <x:row r="145">
      <x:c r="A145" s="16"/>
      <x:c r="B145" s="16"/>
      <x:c r="C145" s="16"/>
      <x:c r="D145" s="16"/>
      <x:c r="E145" s="16"/>
      <x:c r="F145" s="16"/>
      <x:c r="G145" s="16"/>
      <x:c r="H145" s="16"/>
      <x:c r="I145" s="16"/>
      <x:c r="J145" s="16"/>
      <x:c r="K145" s="16"/>
      <x:c r="L145" s="16"/>
      <x:c r="M145" s="16"/>
      <x:c r="N145" s="16"/>
      <x:c r="O145" s="16"/>
      <x:c r="P145" s="16"/>
      <x:c r="Q145" s="16"/>
      <x:c r="R145" s="16"/>
      <x:c r="S145" s="16"/>
      <x:c r="T145" s="16"/>
      <x:c r="U145" s="16"/>
      <x:c r="V145" s="16"/>
      <x:c r="W145" s="16"/>
      <x:c r="X145" s="16"/>
      <x:c r="Y145" s="16"/>
    </x:row>
    <x:row r="146">
      <x:c r="A146" s="16"/>
      <x:c r="B146" s="16"/>
      <x:c r="C146" s="16"/>
      <x:c r="D146" s="16"/>
      <x:c r="E146" s="16"/>
      <x:c r="F146" s="16"/>
      <x:c r="G146" s="16"/>
      <x:c r="H146" s="16"/>
      <x:c r="I146" s="16"/>
      <x:c r="J146" s="16"/>
      <x:c r="K146" s="16"/>
      <x:c r="L146" s="16"/>
      <x:c r="M146" s="16"/>
      <x:c r="N146" s="16"/>
      <x:c r="O146" s="16"/>
      <x:c r="P146" s="16"/>
      <x:c r="Q146" s="16"/>
      <x:c r="R146" s="16"/>
      <x:c r="S146" s="16"/>
      <x:c r="T146" s="16"/>
      <x:c r="U146" s="16"/>
      <x:c r="V146" s="16"/>
      <x:c r="W146" s="16"/>
      <x:c r="X146" s="16"/>
      <x:c r="Y146" s="16"/>
    </x:row>
    <x:row r="147">
      <x:c r="A147" s="16"/>
      <x:c r="B147" s="16"/>
      <x:c r="C147" s="16"/>
      <x:c r="D147" s="16"/>
      <x:c r="E147" s="16"/>
      <x:c r="F147" s="16"/>
      <x:c r="G147" s="16"/>
      <x:c r="H147" s="16"/>
      <x:c r="I147" s="16"/>
      <x:c r="J147" s="16"/>
      <x:c r="K147" s="16"/>
      <x:c r="L147" s="16"/>
      <x:c r="M147" s="16"/>
      <x:c r="N147" s="16"/>
      <x:c r="O147" s="16"/>
      <x:c r="P147" s="16"/>
      <x:c r="Q147" s="16"/>
      <x:c r="R147" s="16"/>
      <x:c r="S147" s="16"/>
      <x:c r="T147" s="16"/>
      <x:c r="U147" s="16"/>
      <x:c r="V147" s="16"/>
      <x:c r="W147" s="16"/>
      <x:c r="X147" s="16"/>
      <x:c r="Y147" s="16"/>
    </x:row>
    <x:row r="148">
      <x:c r="A148" s="16"/>
      <x:c r="B148" s="16"/>
      <x:c r="C148" s="16"/>
      <x:c r="D148" s="16"/>
      <x:c r="E148" s="16"/>
      <x:c r="F148" s="16"/>
      <x:c r="G148" s="16"/>
      <x:c r="H148" s="16"/>
      <x:c r="I148" s="16"/>
      <x:c r="J148" s="16"/>
      <x:c r="K148" s="16"/>
      <x:c r="L148" s="16"/>
      <x:c r="M148" s="16"/>
      <x:c r="N148" s="16"/>
      <x:c r="O148" s="16"/>
      <x:c r="P148" s="16"/>
      <x:c r="Q148" s="16"/>
      <x:c r="R148" s="16"/>
      <x:c r="S148" s="16"/>
      <x:c r="T148" s="16"/>
      <x:c r="U148" s="16"/>
      <x:c r="V148" s="16"/>
      <x:c r="W148" s="16"/>
      <x:c r="X148" s="16"/>
      <x:c r="Y148" s="16"/>
    </x:row>
    <x:row r="149">
      <x:c r="A149" s="16"/>
      <x:c r="B149" s="16"/>
      <x:c r="C149" s="16"/>
      <x:c r="D149" s="16"/>
      <x:c r="E149" s="16"/>
      <x:c r="F149" s="16"/>
      <x:c r="G149" s="16"/>
      <x:c r="H149" s="16"/>
      <x:c r="I149" s="16"/>
      <x:c r="J149" s="16"/>
      <x:c r="K149" s="16"/>
      <x:c r="L149" s="16"/>
      <x:c r="M149" s="16"/>
      <x:c r="N149" s="16"/>
      <x:c r="O149" s="16"/>
      <x:c r="P149" s="16"/>
      <x:c r="Q149" s="16"/>
      <x:c r="R149" s="16"/>
      <x:c r="S149" s="16"/>
      <x:c r="T149" s="16"/>
      <x:c r="U149" s="16"/>
      <x:c r="V149" s="16"/>
      <x:c r="W149" s="16"/>
      <x:c r="X149" s="16"/>
      <x:c r="Y149" s="16"/>
    </x:row>
    <x:row r="150">
      <x:c r="A150" s="16"/>
      <x:c r="B150" s="16"/>
      <x:c r="C150" s="16"/>
      <x:c r="D150" s="16"/>
      <x:c r="E150" s="16"/>
      <x:c r="F150" s="16"/>
      <x:c r="G150" s="16"/>
      <x:c r="H150" s="16"/>
      <x:c r="I150" s="16"/>
      <x:c r="J150" s="16"/>
      <x:c r="K150" s="16"/>
      <x:c r="L150" s="16"/>
      <x:c r="M150" s="16"/>
      <x:c r="N150" s="16"/>
      <x:c r="O150" s="16"/>
      <x:c r="P150" s="16"/>
      <x:c r="Q150" s="16"/>
      <x:c r="R150" s="16"/>
      <x:c r="S150" s="16"/>
      <x:c r="T150" s="16"/>
      <x:c r="U150" s="16"/>
      <x:c r="V150" s="16"/>
      <x:c r="W150" s="16"/>
      <x:c r="X150" s="16"/>
      <x:c r="Y150" s="16"/>
    </x:row>
    <x:row r="151">
      <x:c r="A151" s="16"/>
      <x:c r="B151" s="16"/>
      <x:c r="C151" s="16"/>
      <x:c r="D151" s="16"/>
      <x:c r="E151" s="16"/>
      <x:c r="F151" s="16"/>
      <x:c r="G151" s="16"/>
      <x:c r="H151" s="16"/>
      <x:c r="I151" s="16"/>
      <x:c r="J151" s="16"/>
      <x:c r="K151" s="16"/>
      <x:c r="L151" s="16"/>
      <x:c r="M151" s="16"/>
      <x:c r="N151" s="16"/>
      <x:c r="O151" s="16"/>
      <x:c r="P151" s="16"/>
      <x:c r="Q151" s="16"/>
      <x:c r="R151" s="16"/>
      <x:c r="S151" s="16"/>
      <x:c r="T151" s="16"/>
      <x:c r="U151" s="16"/>
      <x:c r="V151" s="16"/>
      <x:c r="W151" s="16"/>
      <x:c r="X151" s="16"/>
      <x:c r="Y151" s="16"/>
    </x:row>
    <x:row r="152">
      <x:c r="A152" s="16"/>
      <x:c r="B152" s="16"/>
      <x:c r="C152" s="16"/>
      <x:c r="D152" s="16"/>
      <x:c r="E152" s="16"/>
      <x:c r="F152" s="16"/>
      <x:c r="G152" s="16"/>
      <x:c r="H152" s="16"/>
      <x:c r="I152" s="16"/>
      <x:c r="J152" s="16"/>
      <x:c r="K152" s="16"/>
      <x:c r="L152" s="16"/>
      <x:c r="M152" s="16"/>
      <x:c r="N152" s="16"/>
      <x:c r="O152" s="16"/>
      <x:c r="P152" s="16"/>
      <x:c r="Q152" s="16"/>
      <x:c r="R152" s="16"/>
      <x:c r="S152" s="16"/>
      <x:c r="T152" s="16"/>
      <x:c r="U152" s="16"/>
      <x:c r="V152" s="16"/>
      <x:c r="W152" s="16"/>
      <x:c r="X152" s="16"/>
      <x:c r="Y152" s="16"/>
    </x:row>
    <x:row r="153">
      <x:c r="A153" s="16"/>
      <x:c r="B153" s="16"/>
      <x:c r="C153" s="16"/>
      <x:c r="D153" s="16"/>
      <x:c r="E153" s="16"/>
      <x:c r="F153" s="16"/>
      <x:c r="G153" s="16"/>
      <x:c r="H153" s="16"/>
      <x:c r="I153" s="16"/>
      <x:c r="J153" s="16"/>
      <x:c r="K153" s="16"/>
      <x:c r="L153" s="16"/>
      <x:c r="M153" s="16"/>
      <x:c r="N153" s="16"/>
      <x:c r="O153" s="16"/>
      <x:c r="P153" s="16"/>
      <x:c r="Q153" s="16"/>
      <x:c r="R153" s="16"/>
      <x:c r="S153" s="16"/>
      <x:c r="T153" s="16"/>
      <x:c r="U153" s="16"/>
      <x:c r="V153" s="16"/>
      <x:c r="W153" s="16"/>
      <x:c r="X153" s="16"/>
      <x:c r="Y153" s="16"/>
    </x:row>
    <x:row r="154">
      <x:c r="A154" s="16"/>
      <x:c r="B154" s="16"/>
      <x:c r="C154" s="16"/>
      <x:c r="D154" s="16"/>
      <x:c r="E154" s="16"/>
      <x:c r="F154" s="16"/>
      <x:c r="G154" s="16"/>
      <x:c r="H154" s="16"/>
      <x:c r="I154" s="16"/>
      <x:c r="J154" s="16"/>
      <x:c r="K154" s="16"/>
      <x:c r="L154" s="16"/>
      <x:c r="M154" s="16"/>
      <x:c r="N154" s="16"/>
      <x:c r="O154" s="16"/>
      <x:c r="P154" s="16"/>
      <x:c r="Q154" s="16"/>
      <x:c r="R154" s="16"/>
      <x:c r="S154" s="16"/>
      <x:c r="T154" s="16"/>
      <x:c r="U154" s="16"/>
      <x:c r="V154" s="16"/>
      <x:c r="W154" s="16"/>
      <x:c r="X154" s="16"/>
      <x:c r="Y154" s="16"/>
    </x:row>
    <x:row r="155">
      <x:c r="A155" s="16"/>
      <x:c r="B155" s="16"/>
      <x:c r="C155" s="16"/>
      <x:c r="D155" s="16"/>
      <x:c r="E155" s="16"/>
      <x:c r="F155" s="16"/>
      <x:c r="G155" s="16"/>
      <x:c r="H155" s="16"/>
      <x:c r="I155" s="16"/>
      <x:c r="J155" s="16"/>
      <x:c r="K155" s="16"/>
      <x:c r="L155" s="16"/>
      <x:c r="M155" s="16"/>
      <x:c r="N155" s="16"/>
      <x:c r="O155" s="16"/>
      <x:c r="P155" s="16"/>
      <x:c r="Q155" s="16"/>
      <x:c r="R155" s="16"/>
      <x:c r="S155" s="16"/>
      <x:c r="T155" s="16"/>
      <x:c r="U155" s="16"/>
      <x:c r="V155" s="16"/>
      <x:c r="W155" s="16"/>
      <x:c r="X155" s="16"/>
      <x:c r="Y155" s="16"/>
    </x:row>
    <x:row r="156">
      <x:c r="A156" s="16"/>
      <x:c r="B156" s="16"/>
      <x:c r="C156" s="16"/>
      <x:c r="D156" s="16"/>
      <x:c r="E156" s="16"/>
      <x:c r="F156" s="16"/>
      <x:c r="G156" s="16"/>
      <x:c r="H156" s="16"/>
      <x:c r="I156" s="16"/>
      <x:c r="J156" s="16"/>
      <x:c r="K156" s="16"/>
      <x:c r="L156" s="16"/>
      <x:c r="M156" s="16"/>
      <x:c r="N156" s="16"/>
      <x:c r="O156" s="16"/>
      <x:c r="P156" s="16"/>
      <x:c r="Q156" s="16"/>
      <x:c r="R156" s="16"/>
      <x:c r="S156" s="16"/>
      <x:c r="T156" s="16"/>
      <x:c r="U156" s="16"/>
      <x:c r="V156" s="16"/>
      <x:c r="W156" s="16"/>
      <x:c r="X156" s="16"/>
      <x:c r="Y156" s="16"/>
    </x:row>
    <x:row r="157">
      <x:c r="A157" s="16"/>
      <x:c r="B157" s="16"/>
      <x:c r="C157" s="16"/>
      <x:c r="D157" s="16"/>
      <x:c r="E157" s="16"/>
      <x:c r="F157" s="16"/>
      <x:c r="G157" s="16"/>
      <x:c r="H157" s="16"/>
      <x:c r="I157" s="16"/>
      <x:c r="J157" s="16"/>
      <x:c r="K157" s="16"/>
      <x:c r="L157" s="16"/>
      <x:c r="M157" s="16"/>
      <x:c r="N157" s="16"/>
      <x:c r="O157" s="16"/>
      <x:c r="P157" s="16"/>
      <x:c r="Q157" s="16"/>
      <x:c r="R157" s="16"/>
      <x:c r="S157" s="16"/>
      <x:c r="T157" s="16"/>
      <x:c r="U157" s="16"/>
      <x:c r="V157" s="16"/>
      <x:c r="W157" s="16"/>
      <x:c r="X157" s="16"/>
      <x:c r="Y157" s="16"/>
    </x:row>
    <x:row r="158">
      <x:c r="A158" s="16"/>
      <x:c r="B158" s="16"/>
      <x:c r="C158" s="16"/>
      <x:c r="D158" s="16"/>
      <x:c r="E158" s="16"/>
      <x:c r="F158" s="16"/>
      <x:c r="G158" s="16"/>
      <x:c r="H158" s="16"/>
      <x:c r="I158" s="16"/>
      <x:c r="J158" s="16"/>
      <x:c r="K158" s="16"/>
      <x:c r="L158" s="16"/>
      <x:c r="M158" s="16"/>
      <x:c r="N158" s="16"/>
      <x:c r="O158" s="16"/>
      <x:c r="P158" s="16"/>
      <x:c r="Q158" s="16"/>
      <x:c r="R158" s="16"/>
      <x:c r="S158" s="16"/>
      <x:c r="T158" s="16"/>
      <x:c r="U158" s="16"/>
      <x:c r="V158" s="16"/>
      <x:c r="W158" s="16"/>
      <x:c r="X158" s="16"/>
      <x:c r="Y158" s="16"/>
    </x:row>
    <x:row r="159">
      <x:c r="A159" s="16"/>
      <x:c r="B159" s="16"/>
      <x:c r="C159" s="16"/>
      <x:c r="D159" s="16"/>
      <x:c r="E159" s="16"/>
      <x:c r="F159" s="16"/>
      <x:c r="G159" s="16"/>
      <x:c r="H159" s="16"/>
      <x:c r="I159" s="16"/>
      <x:c r="J159" s="16"/>
      <x:c r="K159" s="16"/>
      <x:c r="L159" s="16"/>
      <x:c r="M159" s="16"/>
      <x:c r="N159" s="16"/>
      <x:c r="O159" s="16"/>
      <x:c r="P159" s="16"/>
      <x:c r="Q159" s="16"/>
      <x:c r="R159" s="16"/>
      <x:c r="S159" s="16"/>
      <x:c r="T159" s="16"/>
      <x:c r="U159" s="16"/>
      <x:c r="V159" s="16"/>
      <x:c r="W159" s="16"/>
      <x:c r="X159" s="16"/>
      <x:c r="Y159" s="16"/>
    </x:row>
    <x:row r="160">
      <x:c r="A160" s="16"/>
      <x:c r="B160" s="16"/>
      <x:c r="C160" s="16"/>
      <x:c r="D160" s="16"/>
      <x:c r="E160" s="16"/>
      <x:c r="F160" s="16"/>
      <x:c r="G160" s="16"/>
      <x:c r="H160" s="16"/>
      <x:c r="I160" s="16"/>
      <x:c r="J160" s="16"/>
      <x:c r="K160" s="16"/>
      <x:c r="L160" s="16"/>
      <x:c r="M160" s="16"/>
      <x:c r="N160" s="16"/>
      <x:c r="O160" s="16"/>
      <x:c r="P160" s="16"/>
      <x:c r="Q160" s="16"/>
      <x:c r="R160" s="16"/>
      <x:c r="S160" s="16"/>
      <x:c r="T160" s="16"/>
      <x:c r="U160" s="16"/>
      <x:c r="V160" s="16"/>
      <x:c r="W160" s="16"/>
      <x:c r="X160" s="16"/>
      <x:c r="Y160" s="16"/>
    </x:row>
    <x:row r="161">
      <x:c r="A161" s="16"/>
      <x:c r="B161" s="16"/>
      <x:c r="C161" s="16"/>
      <x:c r="D161" s="16"/>
      <x:c r="E161" s="16"/>
      <x:c r="F161" s="16"/>
      <x:c r="G161" s="16"/>
      <x:c r="H161" s="16"/>
      <x:c r="I161" s="16"/>
      <x:c r="J161" s="16"/>
      <x:c r="K161" s="16"/>
      <x:c r="L161" s="16"/>
      <x:c r="M161" s="16"/>
      <x:c r="N161" s="16"/>
      <x:c r="O161" s="16"/>
      <x:c r="P161" s="16"/>
      <x:c r="Q161" s="16"/>
      <x:c r="R161" s="16"/>
      <x:c r="S161" s="16"/>
      <x:c r="T161" s="16"/>
      <x:c r="U161" s="16"/>
      <x:c r="V161" s="16"/>
      <x:c r="W161" s="16"/>
      <x:c r="X161" s="16"/>
      <x:c r="Y161" s="16"/>
    </x:row>
    <x:row r="162">
      <x:c r="A162" s="16"/>
      <x:c r="B162" s="16"/>
      <x:c r="C162" s="16"/>
      <x:c r="D162" s="16"/>
      <x:c r="E162" s="16"/>
      <x:c r="F162" s="16"/>
      <x:c r="G162" s="16"/>
      <x:c r="H162" s="16"/>
      <x:c r="I162" s="16"/>
      <x:c r="J162" s="16"/>
      <x:c r="K162" s="16"/>
      <x:c r="L162" s="16"/>
      <x:c r="M162" s="16"/>
      <x:c r="N162" s="16"/>
      <x:c r="O162" s="16"/>
      <x:c r="P162" s="16"/>
      <x:c r="Q162" s="16"/>
      <x:c r="R162" s="16"/>
      <x:c r="S162" s="16"/>
      <x:c r="T162" s="16"/>
      <x:c r="U162" s="16"/>
      <x:c r="V162" s="16"/>
      <x:c r="W162" s="16"/>
      <x:c r="X162" s="16"/>
      <x:c r="Y162" s="16"/>
    </x:row>
    <x:row r="163">
      <x:c r="A163" s="16"/>
      <x:c r="B163" s="16"/>
      <x:c r="C163" s="16"/>
      <x:c r="D163" s="16"/>
      <x:c r="E163" s="16"/>
      <x:c r="F163" s="16"/>
      <x:c r="G163" s="16"/>
      <x:c r="H163" s="16"/>
      <x:c r="I163" s="16"/>
      <x:c r="J163" s="16"/>
      <x:c r="K163" s="16"/>
      <x:c r="L163" s="16"/>
      <x:c r="M163" s="16"/>
      <x:c r="N163" s="16"/>
      <x:c r="O163" s="16"/>
      <x:c r="P163" s="16"/>
      <x:c r="Q163" s="16"/>
      <x:c r="R163" s="16"/>
      <x:c r="S163" s="16"/>
      <x:c r="T163" s="16"/>
      <x:c r="U163" s="16"/>
      <x:c r="V163" s="16"/>
      <x:c r="W163" s="16"/>
      <x:c r="X163" s="16"/>
      <x:c r="Y163" s="16"/>
    </x:row>
    <x:row r="164">
      <x:c r="A164" s="16"/>
      <x:c r="B164" s="16"/>
      <x:c r="C164" s="16"/>
      <x:c r="D164" s="16"/>
      <x:c r="E164" s="16"/>
      <x:c r="F164" s="16"/>
      <x:c r="G164" s="16"/>
      <x:c r="H164" s="16"/>
      <x:c r="I164" s="16"/>
      <x:c r="J164" s="16"/>
      <x:c r="K164" s="16"/>
      <x:c r="L164" s="16"/>
      <x:c r="M164" s="16"/>
      <x:c r="N164" s="16"/>
      <x:c r="O164" s="16"/>
      <x:c r="P164" s="16"/>
      <x:c r="Q164" s="16"/>
      <x:c r="R164" s="16"/>
      <x:c r="S164" s="16"/>
      <x:c r="T164" s="16"/>
      <x:c r="U164" s="16"/>
      <x:c r="V164" s="16"/>
      <x:c r="W164" s="16"/>
      <x:c r="X164" s="16"/>
      <x:c r="Y164" s="16"/>
    </x:row>
    <x:row r="165">
      <x:c r="A165" s="16"/>
      <x:c r="B165" s="16"/>
      <x:c r="C165" s="16"/>
      <x:c r="D165" s="16"/>
      <x:c r="E165" s="16"/>
      <x:c r="F165" s="16"/>
      <x:c r="G165" s="16"/>
      <x:c r="H165" s="16"/>
      <x:c r="I165" s="16"/>
      <x:c r="J165" s="16"/>
      <x:c r="K165" s="16"/>
      <x:c r="L165" s="16"/>
      <x:c r="M165" s="16"/>
      <x:c r="N165" s="16"/>
      <x:c r="O165" s="16"/>
      <x:c r="P165" s="16"/>
      <x:c r="Q165" s="16"/>
      <x:c r="R165" s="16"/>
      <x:c r="S165" s="16"/>
      <x:c r="T165" s="16"/>
      <x:c r="U165" s="16"/>
      <x:c r="V165" s="16"/>
      <x:c r="W165" s="16"/>
      <x:c r="X165" s="16"/>
      <x:c r="Y165" s="16"/>
    </x:row>
    <x:row r="166">
      <x:c r="A166" s="16"/>
      <x:c r="B166" s="16"/>
      <x:c r="C166" s="16"/>
      <x:c r="D166" s="16"/>
      <x:c r="E166" s="16"/>
      <x:c r="F166" s="16"/>
      <x:c r="G166" s="16"/>
      <x:c r="H166" s="16"/>
      <x:c r="I166" s="16"/>
      <x:c r="J166" s="16"/>
      <x:c r="K166" s="16"/>
      <x:c r="L166" s="16"/>
      <x:c r="M166" s="16"/>
      <x:c r="N166" s="16"/>
      <x:c r="O166" s="16"/>
      <x:c r="P166" s="16"/>
      <x:c r="Q166" s="16"/>
      <x:c r="R166" s="16"/>
      <x:c r="S166" s="16"/>
      <x:c r="T166" s="16"/>
      <x:c r="U166" s="16"/>
      <x:c r="V166" s="16"/>
      <x:c r="W166" s="16"/>
      <x:c r="X166" s="16"/>
      <x:c r="Y166" s="16"/>
    </x:row>
    <x:row r="167">
      <x:c r="A167" s="16"/>
      <x:c r="B167" s="16"/>
      <x:c r="C167" s="16"/>
      <x:c r="D167" s="16"/>
      <x:c r="E167" s="16"/>
      <x:c r="F167" s="16"/>
      <x:c r="G167" s="16"/>
      <x:c r="H167" s="16"/>
      <x:c r="I167" s="16"/>
      <x:c r="J167" s="16"/>
      <x:c r="K167" s="16"/>
      <x:c r="L167" s="16"/>
      <x:c r="M167" s="16"/>
      <x:c r="N167" s="16"/>
      <x:c r="O167" s="16"/>
      <x:c r="P167" s="16"/>
      <x:c r="Q167" s="16"/>
      <x:c r="R167" s="16"/>
      <x:c r="S167" s="16"/>
      <x:c r="T167" s="16"/>
      <x:c r="U167" s="16"/>
      <x:c r="V167" s="16"/>
      <x:c r="W167" s="16"/>
      <x:c r="X167" s="16"/>
      <x:c r="Y167" s="16"/>
    </x:row>
    <x:row r="168">
      <x:c r="A168" s="16"/>
      <x:c r="B168" s="16"/>
      <x:c r="C168" s="16"/>
      <x:c r="D168" s="16"/>
      <x:c r="E168" s="16"/>
      <x:c r="F168" s="16"/>
      <x:c r="G168" s="16"/>
      <x:c r="H168" s="16"/>
      <x:c r="I168" s="16"/>
      <x:c r="J168" s="16"/>
      <x:c r="K168" s="16"/>
      <x:c r="L168" s="16"/>
      <x:c r="M168" s="16"/>
      <x:c r="N168" s="16"/>
      <x:c r="O168" s="16"/>
      <x:c r="P168" s="16"/>
      <x:c r="Q168" s="16"/>
      <x:c r="R168" s="16"/>
      <x:c r="S168" s="16"/>
      <x:c r="T168" s="16"/>
      <x:c r="U168" s="16"/>
      <x:c r="V168" s="16"/>
      <x:c r="W168" s="16"/>
      <x:c r="X168" s="16"/>
      <x:c r="Y168" s="16"/>
    </x:row>
    <x:row r="169">
      <x:c r="A169" s="16"/>
      <x:c r="B169" s="16"/>
      <x:c r="C169" s="16"/>
      <x:c r="D169" s="16"/>
      <x:c r="E169" s="16"/>
      <x:c r="F169" s="16"/>
      <x:c r="G169" s="16"/>
      <x:c r="H169" s="16"/>
      <x:c r="I169" s="16"/>
      <x:c r="J169" s="16"/>
      <x:c r="K169" s="16"/>
      <x:c r="L169" s="16"/>
      <x:c r="M169" s="16"/>
      <x:c r="N169" s="16"/>
      <x:c r="O169" s="16"/>
      <x:c r="P169" s="16"/>
      <x:c r="Q169" s="16"/>
      <x:c r="R169" s="16"/>
      <x:c r="S169" s="16"/>
      <x:c r="T169" s="16"/>
      <x:c r="U169" s="16"/>
      <x:c r="V169" s="16"/>
      <x:c r="W169" s="16"/>
      <x:c r="X169" s="16"/>
      <x:c r="Y169" s="16"/>
    </x:row>
    <x:row r="170">
      <x:c r="A170" s="16"/>
      <x:c r="B170" s="16"/>
      <x:c r="C170" s="16"/>
      <x:c r="D170" s="16"/>
      <x:c r="E170" s="16"/>
      <x:c r="F170" s="16"/>
      <x:c r="G170" s="16"/>
      <x:c r="H170" s="16"/>
      <x:c r="I170" s="16"/>
      <x:c r="J170" s="16"/>
      <x:c r="K170" s="16"/>
      <x:c r="L170" s="16"/>
      <x:c r="M170" s="16"/>
      <x:c r="N170" s="16"/>
      <x:c r="O170" s="16"/>
      <x:c r="P170" s="16"/>
      <x:c r="Q170" s="16"/>
      <x:c r="R170" s="16"/>
      <x:c r="S170" s="16"/>
      <x:c r="T170" s="16"/>
      <x:c r="U170" s="16"/>
      <x:c r="V170" s="16"/>
      <x:c r="W170" s="16"/>
      <x:c r="X170" s="16"/>
      <x:c r="Y170" s="16"/>
    </x:row>
    <x:row r="171">
      <x:c r="A171" s="16"/>
      <x:c r="B171" s="16"/>
      <x:c r="C171" s="16"/>
      <x:c r="D171" s="16"/>
      <x:c r="E171" s="16"/>
      <x:c r="F171" s="16"/>
      <x:c r="G171" s="16"/>
      <x:c r="H171" s="16"/>
      <x:c r="I171" s="16"/>
      <x:c r="J171" s="16"/>
      <x:c r="K171" s="16"/>
      <x:c r="L171" s="16"/>
      <x:c r="M171" s="16"/>
      <x:c r="N171" s="16"/>
      <x:c r="O171" s="16"/>
      <x:c r="P171" s="16"/>
      <x:c r="Q171" s="16"/>
      <x:c r="R171" s="16"/>
      <x:c r="S171" s="16"/>
      <x:c r="T171" s="16"/>
      <x:c r="U171" s="16"/>
      <x:c r="V171" s="16"/>
      <x:c r="W171" s="16"/>
      <x:c r="X171" s="16"/>
      <x:c r="Y171" s="16"/>
    </x:row>
    <x:row r="172">
      <x:c r="A172" s="16"/>
      <x:c r="B172" s="16"/>
      <x:c r="C172" s="16"/>
      <x:c r="D172" s="16"/>
      <x:c r="E172" s="16"/>
      <x:c r="F172" s="16"/>
      <x:c r="G172" s="16"/>
      <x:c r="H172" s="16"/>
      <x:c r="I172" s="16"/>
      <x:c r="J172" s="16"/>
      <x:c r="K172" s="16"/>
      <x:c r="L172" s="16"/>
      <x:c r="M172" s="16"/>
      <x:c r="N172" s="16"/>
      <x:c r="O172" s="16"/>
      <x:c r="P172" s="16"/>
      <x:c r="Q172" s="16"/>
      <x:c r="R172" s="16"/>
      <x:c r="S172" s="16"/>
      <x:c r="T172" s="16"/>
      <x:c r="U172" s="16"/>
      <x:c r="V172" s="16"/>
      <x:c r="W172" s="16"/>
      <x:c r="X172" s="16"/>
      <x:c r="Y172" s="16"/>
    </x:row>
    <x:row r="173">
      <x:c r="A173" s="16"/>
      <x:c r="B173" s="16"/>
      <x:c r="C173" s="16"/>
      <x:c r="D173" s="16"/>
      <x:c r="E173" s="16"/>
      <x:c r="F173" s="16"/>
      <x:c r="G173" s="16"/>
      <x:c r="H173" s="16"/>
      <x:c r="I173" s="16"/>
      <x:c r="J173" s="16"/>
      <x:c r="K173" s="16"/>
      <x:c r="L173" s="16"/>
      <x:c r="M173" s="16"/>
      <x:c r="N173" s="16"/>
      <x:c r="O173" s="16"/>
      <x:c r="P173" s="16"/>
      <x:c r="Q173" s="16"/>
      <x:c r="R173" s="16"/>
      <x:c r="S173" s="16"/>
      <x:c r="T173" s="16"/>
      <x:c r="U173" s="16"/>
      <x:c r="V173" s="16"/>
      <x:c r="W173" s="16"/>
      <x:c r="X173" s="16"/>
      <x:c r="Y173" s="16"/>
    </x:row>
    <x:row r="174">
      <x:c r="A174" s="16"/>
      <x:c r="B174" s="16"/>
      <x:c r="C174" s="16"/>
      <x:c r="D174" s="16"/>
      <x:c r="E174" s="16"/>
      <x:c r="F174" s="16"/>
      <x:c r="G174" s="16"/>
      <x:c r="H174" s="16"/>
      <x:c r="I174" s="16"/>
      <x:c r="J174" s="16"/>
      <x:c r="K174" s="16"/>
      <x:c r="L174" s="16"/>
      <x:c r="M174" s="16"/>
      <x:c r="N174" s="16"/>
      <x:c r="O174" s="16"/>
      <x:c r="P174" s="16"/>
      <x:c r="Q174" s="16"/>
      <x:c r="R174" s="16"/>
      <x:c r="S174" s="16"/>
      <x:c r="T174" s="16"/>
      <x:c r="U174" s="16"/>
      <x:c r="V174" s="16"/>
      <x:c r="W174" s="16"/>
      <x:c r="X174" s="16"/>
      <x:c r="Y174" s="16"/>
    </x:row>
    <x:row r="175">
      <x:c r="A175" s="16"/>
      <x:c r="B175" s="16"/>
      <x:c r="C175" s="16"/>
      <x:c r="D175" s="16"/>
      <x:c r="E175" s="16"/>
      <x:c r="F175" s="16"/>
      <x:c r="G175" s="16"/>
      <x:c r="H175" s="16"/>
      <x:c r="I175" s="16"/>
      <x:c r="J175" s="16"/>
      <x:c r="K175" s="16"/>
      <x:c r="L175" s="16"/>
      <x:c r="M175" s="16"/>
      <x:c r="N175" s="16"/>
      <x:c r="O175" s="16"/>
      <x:c r="P175" s="16"/>
      <x:c r="Q175" s="16"/>
      <x:c r="R175" s="16"/>
      <x:c r="S175" s="16"/>
      <x:c r="T175" s="16"/>
      <x:c r="U175" s="16"/>
      <x:c r="V175" s="16"/>
      <x:c r="W175" s="16"/>
      <x:c r="X175" s="16"/>
      <x:c r="Y175" s="16"/>
    </x:row>
    <x:row r="176">
      <x:c r="A176" s="16"/>
      <x:c r="B176" s="16"/>
      <x:c r="C176" s="16"/>
      <x:c r="D176" s="16"/>
      <x:c r="E176" s="16"/>
      <x:c r="F176" s="16"/>
      <x:c r="G176" s="16"/>
      <x:c r="H176" s="16"/>
      <x:c r="I176" s="16"/>
      <x:c r="J176" s="16"/>
      <x:c r="K176" s="16"/>
      <x:c r="L176" s="16"/>
      <x:c r="M176" s="16"/>
      <x:c r="N176" s="16"/>
      <x:c r="O176" s="16"/>
      <x:c r="P176" s="16"/>
      <x:c r="Q176" s="16"/>
      <x:c r="R176" s="16"/>
      <x:c r="S176" s="16"/>
      <x:c r="T176" s="16"/>
      <x:c r="U176" s="16"/>
      <x:c r="V176" s="16"/>
      <x:c r="W176" s="16"/>
      <x:c r="X176" s="16"/>
      <x:c r="Y176" s="16"/>
    </x:row>
    <x:row r="177">
      <x:c r="A177" s="16"/>
      <x:c r="B177" s="16"/>
      <x:c r="C177" s="16"/>
      <x:c r="D177" s="16"/>
      <x:c r="E177" s="16"/>
      <x:c r="F177" s="16"/>
      <x:c r="G177" s="16"/>
      <x:c r="H177" s="16"/>
      <x:c r="I177" s="16"/>
      <x:c r="J177" s="16"/>
      <x:c r="K177" s="16"/>
      <x:c r="L177" s="16"/>
      <x:c r="M177" s="16"/>
      <x:c r="N177" s="16"/>
      <x:c r="O177" s="16"/>
      <x:c r="P177" s="16"/>
      <x:c r="Q177" s="16"/>
      <x:c r="R177" s="16"/>
      <x:c r="S177" s="16"/>
      <x:c r="T177" s="16"/>
      <x:c r="U177" s="16"/>
      <x:c r="V177" s="16"/>
      <x:c r="W177" s="16"/>
      <x:c r="X177" s="16"/>
      <x:c r="Y177" s="16"/>
    </x:row>
    <x:row r="178">
      <x:c r="A178" s="16"/>
      <x:c r="B178" s="16"/>
      <x:c r="C178" s="16"/>
      <x:c r="D178" s="16"/>
      <x:c r="E178" s="16"/>
      <x:c r="F178" s="16"/>
      <x:c r="G178" s="16"/>
      <x:c r="H178" s="16"/>
      <x:c r="I178" s="16"/>
      <x:c r="J178" s="16"/>
      <x:c r="K178" s="16"/>
      <x:c r="L178" s="16"/>
      <x:c r="M178" s="16"/>
      <x:c r="N178" s="16"/>
      <x:c r="O178" s="16"/>
      <x:c r="P178" s="16"/>
      <x:c r="Q178" s="16"/>
      <x:c r="R178" s="16"/>
      <x:c r="S178" s="16"/>
      <x:c r="T178" s="16"/>
      <x:c r="U178" s="16"/>
      <x:c r="V178" s="16"/>
      <x:c r="W178" s="16"/>
      <x:c r="X178" s="16"/>
      <x:c r="Y178" s="16"/>
    </x:row>
    <x:row r="179">
      <x:c r="A179" s="16"/>
      <x:c r="B179" s="16"/>
      <x:c r="C179" s="16"/>
      <x:c r="D179" s="16"/>
      <x:c r="E179" s="16"/>
      <x:c r="F179" s="16"/>
      <x:c r="G179" s="16"/>
      <x:c r="H179" s="16"/>
      <x:c r="I179" s="16"/>
      <x:c r="J179" s="16"/>
      <x:c r="K179" s="16"/>
      <x:c r="L179" s="16"/>
      <x:c r="M179" s="16"/>
      <x:c r="N179" s="16"/>
      <x:c r="O179" s="16"/>
      <x:c r="P179" s="16"/>
      <x:c r="Q179" s="16"/>
      <x:c r="R179" s="16"/>
      <x:c r="S179" s="16"/>
      <x:c r="T179" s="16"/>
      <x:c r="U179" s="16"/>
      <x:c r="V179" s="16"/>
      <x:c r="W179" s="16"/>
      <x:c r="X179" s="16"/>
      <x:c r="Y179" s="16"/>
    </x:row>
    <x:row r="180">
      <x:c r="A180" s="16"/>
      <x:c r="B180" s="16"/>
      <x:c r="C180" s="16"/>
      <x:c r="D180" s="16"/>
      <x:c r="E180" s="16"/>
      <x:c r="F180" s="16"/>
      <x:c r="G180" s="16"/>
      <x:c r="H180" s="16"/>
      <x:c r="I180" s="16"/>
      <x:c r="J180" s="16"/>
      <x:c r="K180" s="16"/>
      <x:c r="L180" s="16"/>
      <x:c r="M180" s="16"/>
      <x:c r="N180" s="16"/>
      <x:c r="O180" s="16"/>
      <x:c r="P180" s="16"/>
      <x:c r="Q180" s="16"/>
      <x:c r="R180" s="16"/>
      <x:c r="S180" s="16"/>
      <x:c r="T180" s="16"/>
      <x:c r="U180" s="16"/>
      <x:c r="V180" s="16"/>
      <x:c r="W180" s="16"/>
      <x:c r="X180" s="16"/>
      <x:c r="Y180" s="16"/>
    </x:row>
    <x:row r="181">
      <x:c r="A181" s="16"/>
      <x:c r="B181" s="16"/>
      <x:c r="C181" s="16"/>
      <x:c r="D181" s="16"/>
      <x:c r="E181" s="16"/>
      <x:c r="F181" s="16"/>
      <x:c r="G181" s="16"/>
      <x:c r="H181" s="16"/>
      <x:c r="I181" s="16"/>
      <x:c r="J181" s="16"/>
      <x:c r="K181" s="16"/>
      <x:c r="L181" s="16"/>
      <x:c r="M181" s="16"/>
      <x:c r="N181" s="16"/>
      <x:c r="O181" s="16"/>
      <x:c r="P181" s="16"/>
      <x:c r="Q181" s="16"/>
      <x:c r="R181" s="16"/>
      <x:c r="S181" s="16"/>
      <x:c r="T181" s="16"/>
      <x:c r="U181" s="16"/>
      <x:c r="V181" s="16"/>
      <x:c r="W181" s="16"/>
      <x:c r="X181" s="16"/>
      <x:c r="Y181" s="16"/>
    </x:row>
    <x:row r="182">
      <x:c r="A182" s="16"/>
      <x:c r="B182" s="16"/>
      <x:c r="C182" s="16"/>
      <x:c r="D182" s="16"/>
      <x:c r="E182" s="16"/>
      <x:c r="F182" s="16"/>
      <x:c r="G182" s="16"/>
      <x:c r="H182" s="16"/>
      <x:c r="I182" s="16"/>
      <x:c r="J182" s="16"/>
      <x:c r="K182" s="16"/>
      <x:c r="L182" s="16"/>
      <x:c r="M182" s="16"/>
      <x:c r="N182" s="16"/>
      <x:c r="O182" s="16"/>
      <x:c r="P182" s="16"/>
      <x:c r="Q182" s="16"/>
      <x:c r="R182" s="16"/>
      <x:c r="S182" s="16"/>
      <x:c r="T182" s="16"/>
      <x:c r="U182" s="16"/>
      <x:c r="V182" s="16"/>
      <x:c r="W182" s="16"/>
      <x:c r="X182" s="16"/>
      <x:c r="Y182" s="16"/>
    </x:row>
    <x:row r="183">
      <x:c r="A183" s="16"/>
      <x:c r="B183" s="16"/>
      <x:c r="C183" s="16"/>
      <x:c r="D183" s="16"/>
      <x:c r="E183" s="16"/>
      <x:c r="F183" s="16"/>
      <x:c r="G183" s="16"/>
      <x:c r="H183" s="16"/>
      <x:c r="I183" s="16"/>
      <x:c r="J183" s="16"/>
      <x:c r="K183" s="16"/>
      <x:c r="L183" s="16"/>
      <x:c r="M183" s="16"/>
      <x:c r="N183" s="16"/>
      <x:c r="O183" s="16"/>
      <x:c r="P183" s="16"/>
      <x:c r="Q183" s="16"/>
      <x:c r="R183" s="16"/>
      <x:c r="S183" s="16"/>
      <x:c r="T183" s="16"/>
      <x:c r="U183" s="16"/>
      <x:c r="V183" s="16"/>
      <x:c r="W183" s="16"/>
      <x:c r="X183" s="16"/>
      <x:c r="Y183" s="16"/>
    </x:row>
    <x:row r="184">
      <x:c r="A184" s="16"/>
      <x:c r="B184" s="16"/>
      <x:c r="C184" s="16"/>
      <x:c r="D184" s="16"/>
      <x:c r="E184" s="16"/>
      <x:c r="F184" s="16"/>
      <x:c r="G184" s="16"/>
      <x:c r="H184" s="16"/>
      <x:c r="I184" s="16"/>
      <x:c r="J184" s="16"/>
      <x:c r="K184" s="16"/>
      <x:c r="L184" s="16"/>
      <x:c r="M184" s="16"/>
      <x:c r="N184" s="16"/>
      <x:c r="O184" s="16"/>
      <x:c r="P184" s="16"/>
      <x:c r="Q184" s="16"/>
      <x:c r="R184" s="16"/>
      <x:c r="S184" s="16"/>
      <x:c r="T184" s="16"/>
      <x:c r="U184" s="16"/>
      <x:c r="V184" s="16"/>
      <x:c r="W184" s="16"/>
      <x:c r="X184" s="16"/>
      <x:c r="Y184" s="16"/>
    </x:row>
    <x:row r="185">
      <x:c r="A185" s="16"/>
      <x:c r="B185" s="16"/>
      <x:c r="C185" s="16"/>
      <x:c r="D185" s="16"/>
      <x:c r="E185" s="16"/>
      <x:c r="F185" s="16"/>
      <x:c r="G185" s="16"/>
      <x:c r="H185" s="16"/>
      <x:c r="I185" s="16"/>
      <x:c r="J185" s="16"/>
      <x:c r="K185" s="16"/>
      <x:c r="L185" s="16"/>
      <x:c r="M185" s="16"/>
      <x:c r="N185" s="16"/>
      <x:c r="O185" s="16"/>
      <x:c r="P185" s="16"/>
      <x:c r="Q185" s="16"/>
      <x:c r="R185" s="16"/>
      <x:c r="S185" s="16"/>
      <x:c r="T185" s="16"/>
      <x:c r="U185" s="16"/>
      <x:c r="V185" s="16"/>
      <x:c r="W185" s="16"/>
      <x:c r="X185" s="16"/>
      <x:c r="Y185" s="16"/>
    </x:row>
    <x:row r="186">
      <x:c r="A186" s="16"/>
      <x:c r="B186" s="16"/>
      <x:c r="C186" s="16"/>
      <x:c r="D186" s="16"/>
      <x:c r="E186" s="16"/>
      <x:c r="F186" s="16"/>
      <x:c r="G186" s="16"/>
      <x:c r="H186" s="16"/>
      <x:c r="I186" s="16"/>
      <x:c r="J186" s="16"/>
      <x:c r="K186" s="16"/>
      <x:c r="L186" s="16"/>
      <x:c r="M186" s="16"/>
      <x:c r="N186" s="16"/>
      <x:c r="O186" s="16"/>
      <x:c r="P186" s="16"/>
      <x:c r="Q186" s="16"/>
      <x:c r="R186" s="16"/>
      <x:c r="S186" s="16"/>
      <x:c r="T186" s="16"/>
      <x:c r="U186" s="16"/>
      <x:c r="V186" s="16"/>
      <x:c r="W186" s="16"/>
      <x:c r="X186" s="16"/>
      <x:c r="Y186" s="16"/>
    </x:row>
    <x:row r="187">
      <x:c r="A187" s="16"/>
      <x:c r="B187" s="16"/>
      <x:c r="C187" s="16"/>
      <x:c r="D187" s="16"/>
      <x:c r="E187" s="16"/>
      <x:c r="F187" s="16"/>
      <x:c r="G187" s="16"/>
      <x:c r="H187" s="16"/>
      <x:c r="I187" s="16"/>
      <x:c r="J187" s="16"/>
      <x:c r="K187" s="16"/>
      <x:c r="L187" s="16"/>
      <x:c r="M187" s="16"/>
      <x:c r="N187" s="16"/>
      <x:c r="O187" s="16"/>
      <x:c r="P187" s="16"/>
      <x:c r="Q187" s="16"/>
      <x:c r="R187" s="16"/>
      <x:c r="S187" s="16"/>
      <x:c r="T187" s="16"/>
      <x:c r="U187" s="16"/>
      <x:c r="V187" s="16"/>
      <x:c r="W187" s="16"/>
      <x:c r="X187" s="16"/>
      <x:c r="Y187" s="16"/>
    </x:row>
    <x:row r="188">
      <x:c r="A188" s="16"/>
      <x:c r="B188" s="16"/>
      <x:c r="C188" s="16"/>
      <x:c r="D188" s="16"/>
      <x:c r="E188" s="16"/>
      <x:c r="F188" s="16"/>
      <x:c r="G188" s="16"/>
      <x:c r="H188" s="16"/>
      <x:c r="I188" s="16"/>
      <x:c r="J188" s="16"/>
      <x:c r="K188" s="16"/>
      <x:c r="L188" s="16"/>
      <x:c r="M188" s="16"/>
      <x:c r="N188" s="16"/>
      <x:c r="O188" s="16"/>
      <x:c r="P188" s="16"/>
      <x:c r="Q188" s="16"/>
      <x:c r="R188" s="16"/>
      <x:c r="S188" s="16"/>
      <x:c r="T188" s="16"/>
      <x:c r="U188" s="16"/>
      <x:c r="V188" s="16"/>
      <x:c r="W188" s="16"/>
      <x:c r="X188" s="16"/>
      <x:c r="Y188" s="16"/>
    </x:row>
    <x:row r="189">
      <x:c r="A189" s="16"/>
      <x:c r="B189" s="16"/>
      <x:c r="C189" s="16"/>
      <x:c r="D189" s="16"/>
      <x:c r="E189" s="16"/>
      <x:c r="F189" s="16"/>
      <x:c r="G189" s="16"/>
      <x:c r="H189" s="16"/>
      <x:c r="I189" s="16"/>
      <x:c r="J189" s="16"/>
      <x:c r="K189" s="16"/>
      <x:c r="L189" s="16"/>
      <x:c r="M189" s="16"/>
      <x:c r="N189" s="16"/>
      <x:c r="O189" s="16"/>
      <x:c r="P189" s="16"/>
      <x:c r="Q189" s="16"/>
      <x:c r="R189" s="16"/>
      <x:c r="S189" s="16"/>
      <x:c r="T189" s="16"/>
      <x:c r="U189" s="16"/>
      <x:c r="V189" s="16"/>
      <x:c r="W189" s="16"/>
      <x:c r="X189" s="16"/>
      <x:c r="Y189" s="16"/>
    </x:row>
    <x:row r="190">
      <x:c r="A190" s="16"/>
      <x:c r="B190" s="16"/>
      <x:c r="C190" s="16"/>
      <x:c r="D190" s="16"/>
      <x:c r="E190" s="16"/>
      <x:c r="F190" s="16"/>
      <x:c r="G190" s="16"/>
      <x:c r="H190" s="16"/>
      <x:c r="I190" s="16"/>
      <x:c r="J190" s="16"/>
      <x:c r="K190" s="16"/>
      <x:c r="L190" s="16"/>
      <x:c r="M190" s="16"/>
      <x:c r="N190" s="16"/>
      <x:c r="O190" s="16"/>
      <x:c r="P190" s="16"/>
      <x:c r="Q190" s="16"/>
      <x:c r="R190" s="16"/>
      <x:c r="S190" s="16"/>
      <x:c r="T190" s="16"/>
      <x:c r="U190" s="16"/>
      <x:c r="V190" s="16"/>
      <x:c r="W190" s="16"/>
      <x:c r="X190" s="16"/>
      <x:c r="Y190" s="16"/>
    </x:row>
    <x:row r="191">
      <x:c r="A191" s="16"/>
      <x:c r="B191" s="16"/>
      <x:c r="C191" s="16"/>
      <x:c r="D191" s="16"/>
      <x:c r="E191" s="16"/>
      <x:c r="F191" s="16"/>
      <x:c r="G191" s="16"/>
      <x:c r="H191" s="16"/>
      <x:c r="I191" s="16"/>
      <x:c r="J191" s="16"/>
      <x:c r="K191" s="16"/>
      <x:c r="L191" s="16"/>
      <x:c r="M191" s="16"/>
      <x:c r="N191" s="16"/>
      <x:c r="O191" s="16"/>
      <x:c r="P191" s="16"/>
      <x:c r="Q191" s="16"/>
      <x:c r="R191" s="16"/>
      <x:c r="S191" s="16"/>
      <x:c r="T191" s="16"/>
      <x:c r="U191" s="16"/>
      <x:c r="V191" s="16"/>
      <x:c r="W191" s="16"/>
      <x:c r="X191" s="16"/>
      <x:c r="Y191" s="16"/>
    </x:row>
    <x:row r="192">
      <x:c r="A192" s="16"/>
      <x:c r="B192" s="16"/>
      <x:c r="C192" s="16"/>
      <x:c r="D192" s="16"/>
      <x:c r="E192" s="16"/>
      <x:c r="F192" s="16"/>
      <x:c r="G192" s="16"/>
      <x:c r="H192" s="16"/>
      <x:c r="I192" s="16"/>
      <x:c r="J192" s="16"/>
      <x:c r="K192" s="16"/>
      <x:c r="L192" s="16"/>
      <x:c r="M192" s="16"/>
      <x:c r="N192" s="16"/>
      <x:c r="O192" s="16"/>
      <x:c r="P192" s="16"/>
      <x:c r="Q192" s="16"/>
      <x:c r="R192" s="16"/>
      <x:c r="S192" s="16"/>
      <x:c r="T192" s="16"/>
      <x:c r="U192" s="16"/>
      <x:c r="V192" s="16"/>
      <x:c r="W192" s="16"/>
      <x:c r="X192" s="16"/>
      <x:c r="Y192" s="16"/>
    </x:row>
    <x:row r="193">
      <x:c r="A193" s="16"/>
      <x:c r="B193" s="16"/>
      <x:c r="C193" s="16"/>
      <x:c r="D193" s="16"/>
      <x:c r="E193" s="16"/>
      <x:c r="F193" s="16"/>
      <x:c r="G193" s="16"/>
      <x:c r="H193" s="16"/>
      <x:c r="I193" s="16"/>
      <x:c r="J193" s="16"/>
      <x:c r="K193" s="16"/>
      <x:c r="L193" s="16"/>
      <x:c r="M193" s="16"/>
      <x:c r="N193" s="16"/>
      <x:c r="O193" s="16"/>
      <x:c r="P193" s="16"/>
      <x:c r="Q193" s="16"/>
      <x:c r="R193" s="16"/>
      <x:c r="S193" s="16"/>
      <x:c r="T193" s="16"/>
      <x:c r="U193" s="16"/>
      <x:c r="V193" s="16"/>
      <x:c r="W193" s="16"/>
      <x:c r="X193" s="16"/>
      <x:c r="Y193" s="16"/>
    </x:row>
    <x:row r="194">
      <x:c r="A194" s="16"/>
      <x:c r="B194" s="16"/>
      <x:c r="C194" s="16"/>
      <x:c r="D194" s="16"/>
      <x:c r="E194" s="16"/>
      <x:c r="F194" s="16"/>
      <x:c r="G194" s="16"/>
      <x:c r="H194" s="16"/>
      <x:c r="I194" s="16"/>
      <x:c r="J194" s="16"/>
      <x:c r="K194" s="16"/>
      <x:c r="L194" s="16"/>
      <x:c r="M194" s="16"/>
      <x:c r="N194" s="16"/>
      <x:c r="O194" s="16"/>
      <x:c r="P194" s="16"/>
      <x:c r="Q194" s="16"/>
      <x:c r="R194" s="16"/>
      <x:c r="S194" s="16"/>
      <x:c r="T194" s="16"/>
      <x:c r="U194" s="16"/>
      <x:c r="V194" s="16"/>
      <x:c r="W194" s="16"/>
      <x:c r="X194" s="16"/>
      <x:c r="Y194" s="16"/>
    </x:row>
    <x:row r="195">
      <x:c r="A195" s="16"/>
      <x:c r="B195" s="16"/>
      <x:c r="C195" s="16"/>
      <x:c r="D195" s="16"/>
      <x:c r="E195" s="16"/>
      <x:c r="F195" s="16"/>
      <x:c r="G195" s="16"/>
      <x:c r="H195" s="16"/>
      <x:c r="I195" s="16"/>
      <x:c r="J195" s="16"/>
      <x:c r="K195" s="16"/>
      <x:c r="L195" s="16"/>
      <x:c r="M195" s="16"/>
      <x:c r="N195" s="16"/>
      <x:c r="O195" s="16"/>
      <x:c r="P195" s="16"/>
      <x:c r="Q195" s="16"/>
      <x:c r="R195" s="16"/>
      <x:c r="S195" s="16"/>
      <x:c r="T195" s="16"/>
      <x:c r="U195" s="16"/>
      <x:c r="V195" s="16"/>
      <x:c r="W195" s="16"/>
      <x:c r="X195" s="16"/>
      <x:c r="Y195" s="16"/>
    </x:row>
    <x:row r="196">
      <x:c r="A196" s="16"/>
      <x:c r="B196" s="16"/>
      <x:c r="C196" s="16"/>
      <x:c r="D196" s="16"/>
      <x:c r="E196" s="16"/>
      <x:c r="F196" s="16"/>
      <x:c r="G196" s="16"/>
      <x:c r="H196" s="16"/>
      <x:c r="I196" s="16"/>
      <x:c r="J196" s="16"/>
      <x:c r="K196" s="16"/>
      <x:c r="L196" s="16"/>
      <x:c r="M196" s="16"/>
      <x:c r="N196" s="16"/>
      <x:c r="O196" s="16"/>
      <x:c r="P196" s="16"/>
      <x:c r="Q196" s="16"/>
      <x:c r="R196" s="16"/>
      <x:c r="S196" s="16"/>
      <x:c r="T196" s="16"/>
      <x:c r="U196" s="16"/>
      <x:c r="V196" s="16"/>
      <x:c r="W196" s="16"/>
      <x:c r="X196" s="16"/>
      <x:c r="Y196" s="16"/>
    </x:row>
    <x:row r="197">
      <x:c r="A197" s="16"/>
      <x:c r="B197" s="16"/>
      <x:c r="C197" s="16"/>
      <x:c r="D197" s="16"/>
      <x:c r="E197" s="16"/>
      <x:c r="F197" s="16"/>
      <x:c r="G197" s="16"/>
      <x:c r="H197" s="16"/>
      <x:c r="I197" s="16"/>
      <x:c r="J197" s="16"/>
      <x:c r="K197" s="16"/>
      <x:c r="L197" s="16"/>
      <x:c r="M197" s="16"/>
      <x:c r="N197" s="16"/>
      <x:c r="O197" s="16"/>
      <x:c r="P197" s="16"/>
      <x:c r="Q197" s="16"/>
      <x:c r="R197" s="16"/>
      <x:c r="S197" s="16"/>
      <x:c r="T197" s="16"/>
      <x:c r="U197" s="16"/>
      <x:c r="V197" s="16"/>
      <x:c r="W197" s="16"/>
      <x:c r="X197" s="16"/>
      <x:c r="Y197" s="16"/>
    </x:row>
    <x:row r="198">
      <x:c r="A198" s="16"/>
      <x:c r="B198" s="16"/>
      <x:c r="C198" s="16"/>
      <x:c r="D198" s="16"/>
      <x:c r="E198" s="16"/>
      <x:c r="F198" s="16"/>
      <x:c r="G198" s="16"/>
      <x:c r="H198" s="16"/>
      <x:c r="I198" s="16"/>
      <x:c r="J198" s="16"/>
      <x:c r="K198" s="16"/>
      <x:c r="L198" s="16"/>
      <x:c r="M198" s="16"/>
      <x:c r="N198" s="16"/>
      <x:c r="O198" s="16"/>
      <x:c r="P198" s="16"/>
      <x:c r="Q198" s="16"/>
      <x:c r="R198" s="16"/>
      <x:c r="S198" s="16"/>
      <x:c r="T198" s="16"/>
      <x:c r="U198" s="16"/>
      <x:c r="V198" s="16"/>
      <x:c r="W198" s="16"/>
      <x:c r="X198" s="16"/>
      <x:c r="Y198" s="16"/>
    </x:row>
    <x:row r="199">
      <x:c r="A199" s="16"/>
      <x:c r="B199" s="16"/>
      <x:c r="C199" s="16"/>
      <x:c r="D199" s="16"/>
      <x:c r="E199" s="16"/>
      <x:c r="F199" s="16"/>
      <x:c r="G199" s="16"/>
      <x:c r="H199" s="16"/>
      <x:c r="I199" s="16"/>
      <x:c r="J199" s="16"/>
      <x:c r="K199" s="16"/>
      <x:c r="L199" s="16"/>
      <x:c r="M199" s="16"/>
      <x:c r="N199" s="16"/>
      <x:c r="O199" s="16"/>
      <x:c r="P199" s="16"/>
      <x:c r="Q199" s="16"/>
      <x:c r="R199" s="16"/>
      <x:c r="S199" s="16"/>
      <x:c r="T199" s="16"/>
      <x:c r="U199" s="16"/>
      <x:c r="V199" s="16"/>
      <x:c r="W199" s="16"/>
      <x:c r="X199" s="16"/>
      <x:c r="Y199" s="16"/>
    </x:row>
    <x:row r="200">
      <x:c r="A200" s="16"/>
      <x:c r="B200" s="16"/>
      <x:c r="C200" s="16"/>
      <x:c r="D200" s="16"/>
      <x:c r="E200" s="16"/>
      <x:c r="F200" s="16"/>
      <x:c r="G200" s="16"/>
      <x:c r="H200" s="16"/>
      <x:c r="I200" s="16"/>
      <x:c r="J200" s="16"/>
      <x:c r="K200" s="16"/>
      <x:c r="L200" s="16"/>
      <x:c r="M200" s="16"/>
      <x:c r="N200" s="16"/>
      <x:c r="O200" s="16"/>
      <x:c r="P200" s="16"/>
      <x:c r="Q200" s="16"/>
      <x:c r="R200" s="16"/>
      <x:c r="S200" s="16"/>
      <x:c r="T200" s="16"/>
      <x:c r="U200" s="16"/>
      <x:c r="V200" s="16"/>
      <x:c r="W200" s="16"/>
      <x:c r="X200" s="16"/>
      <x:c r="Y200" s="16"/>
    </x:row>
  </x:sheetData>
  <x:pageMargins left="0.7" right="0.7" top="0.75" bottom="0.75" header="0.3" footer="0.3"/>
  <x:tableParts count="1">
    <x:tablePart xmlns:r="http://schemas.openxmlformats.org/officeDocument/2006/relationships" r:id="Ree4f052d8a62442c"/>
  </x:tableParts>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18" t="str">
        <x:v>ARL Comparison Framework</x:v>
      </x:c>
      <x:c r="B1" s="18" t="str"/>
      <x:c r="C1" s="18" t="str"/>
      <x:c r="D1" s="18" t="str"/>
      <x:c r="E1" s="16" t="str"/>
      <x:c r="F1" s="16" t="str"/>
      <x:c r="G1" s="16" t="str"/>
      <x:c r="H1" s="16" t="str"/>
      <x:c r="I1" s="16"/>
      <x:c r="J1" s="16"/>
      <x:c r="K1" s="16"/>
      <x:c r="L1" s="16"/>
      <x:c r="M1" s="16"/>
      <x:c r="N1" s="16"/>
      <x:c r="O1" s="16"/>
      <x:c r="P1" s="16"/>
      <x:c r="Q1" s="16"/>
      <x:c r="R1" s="16"/>
      <x:c r="S1" s="16"/>
      <x:c r="T1" s="16"/>
      <x:c r="U1" s="16"/>
      <x:c r="V1" s="16"/>
      <x:c r="W1" s="16"/>
      <x:c r="X1" s="16"/>
      <x:c r="Y1" s="16"/>
      <x:c r="Z1" s="16"/>
    </x:row>
    <x:row r="2">
      <x:c r="A2" t="str">
        <x:v>Dimension</x:v>
      </x:c>
      <x:c r="B2" t="str">
        <x:v>Feature</x:v>
      </x:c>
      <x:c r="C2" t="str">
        <x:v>Proposed ARL</x:v>
      </x:c>
      <x:c r="D2" t="str">
        <x:v>Comparator 1</x:v>
      </x:c>
      <x:c r="E2" t="str">
        <x:v>Comparator 2</x:v>
      </x:c>
      <x:c r="F2" t="str">
        <x:v>Comparator 3</x:v>
      </x:c>
      <x:c r="G2" t="str">
        <x:v>Evidence Source</x:v>
      </x:c>
      <x:c r="H2" t="str">
        <x:v>Verification</x:v>
      </x:c>
    </x:row>
    <x:row r="3">
      <x:c r="A3" t="str">
        <x:v>Sensing</x:v>
      </x:c>
      <x:c r="B3" t="str">
        <x:v>EEG</x:v>
      </x:c>
      <x:c r="C3" t="str">
        <x:v>Yes</x:v>
      </x:c>
      <x:c r="D3" t="str"/>
      <x:c r="E3" t="str"/>
      <x:c r="F3" t="str"/>
      <x:c r="G3" t="str"/>
      <x:c r="H3" t="str"/>
    </x:row>
    <x:row r="4">
      <x:c r="A4" t="str">
        <x:v>Sensing</x:v>
      </x:c>
      <x:c r="B4" t="str">
        <x:v>ECG</x:v>
      </x:c>
      <x:c r="C4" t="str">
        <x:v>Yes</x:v>
      </x:c>
      <x:c r="D4" t="str"/>
      <x:c r="E4" t="str"/>
      <x:c r="F4" t="str"/>
      <x:c r="G4" t="str"/>
      <x:c r="H4" t="str"/>
    </x:row>
    <x:row r="5">
      <x:c r="A5" t="str">
        <x:v>Sensing</x:v>
      </x:c>
      <x:c r="B5" t="str">
        <x:v>EDA / GSR</x:v>
      </x:c>
      <x:c r="C5" t="str">
        <x:v>Yes</x:v>
      </x:c>
      <x:c r="D5" t="str"/>
      <x:c r="E5" t="str"/>
      <x:c r="F5" t="str"/>
      <x:c r="G5" t="str"/>
      <x:c r="H5" t="str"/>
    </x:row>
    <x:row r="6">
      <x:c r="A6" t="str">
        <x:v>Sensing</x:v>
      </x:c>
      <x:c r="B6" t="str">
        <x:v>EMG</x:v>
      </x:c>
      <x:c r="C6" t="str">
        <x:v>Yes</x:v>
      </x:c>
      <x:c r="D6" t="str"/>
      <x:c r="E6" t="str"/>
      <x:c r="F6" t="str"/>
      <x:c r="G6" t="str"/>
      <x:c r="H6" t="str"/>
    </x:row>
    <x:row r="7">
      <x:c r="A7" t="str">
        <x:v>Sensing</x:v>
      </x:c>
      <x:c r="B7" t="str">
        <x:v>Eye tracking</x:v>
      </x:c>
      <x:c r="C7" t="str">
        <x:v>Yes</x:v>
      </x:c>
      <x:c r="D7" t="str"/>
      <x:c r="E7" t="str"/>
      <x:c r="F7" t="str"/>
      <x:c r="G7" t="str"/>
      <x:c r="H7" t="str"/>
    </x:row>
    <x:row r="8">
      <x:c r="A8" t="str">
        <x:v>Sensing</x:v>
      </x:c>
      <x:c r="B8" t="str">
        <x:v>Audio</x:v>
      </x:c>
      <x:c r="C8" t="str">
        <x:v>Yes</x:v>
      </x:c>
      <x:c r="D8" t="str"/>
      <x:c r="E8" t="str"/>
      <x:c r="F8" t="str"/>
      <x:c r="G8" t="str"/>
      <x:c r="H8" t="str"/>
    </x:row>
    <x:row r="9">
      <x:c r="A9" t="str">
        <x:v>Sensing</x:v>
      </x:c>
      <x:c r="B9" t="str">
        <x:v>Video</x:v>
      </x:c>
      <x:c r="C9" t="str">
        <x:v>Yes</x:v>
      </x:c>
      <x:c r="D9" t="str"/>
      <x:c r="E9" t="str"/>
      <x:c r="F9" t="str"/>
      <x:c r="G9" t="str"/>
      <x:c r="H9" t="str"/>
    </x:row>
    <x:row r="10">
      <x:c r="A10" t="str">
        <x:v>Behavior</x:v>
      </x:c>
      <x:c r="B10" t="str">
        <x:v>Explicit decision / vote</x:v>
      </x:c>
      <x:c r="C10" t="str">
        <x:v>Yes</x:v>
      </x:c>
      <x:c r="D10" t="str"/>
      <x:c r="E10" t="str"/>
      <x:c r="F10" t="str"/>
      <x:c r="G10" t="str"/>
      <x:c r="H10" t="str"/>
    </x:row>
    <x:row r="11">
      <x:c r="A11" t="str">
        <x:v>Behavior</x:v>
      </x:c>
      <x:c r="B11" t="str">
        <x:v>Confidence rating</x:v>
      </x:c>
      <x:c r="C11" t="str">
        <x:v>Yes</x:v>
      </x:c>
      <x:c r="D11" t="str"/>
      <x:c r="E11" t="str"/>
      <x:c r="F11" t="str"/>
      <x:c r="G11" t="str"/>
      <x:c r="H11" t="str"/>
    </x:row>
    <x:row r="12">
      <x:c r="A12" t="str">
        <x:v>Behavior</x:v>
      </x:c>
      <x:c r="B12" t="str">
        <x:v>Reason / strategy annotation</x:v>
      </x:c>
      <x:c r="C12" t="str">
        <x:v>Yes</x:v>
      </x:c>
      <x:c r="D12" t="str"/>
      <x:c r="E12" t="str"/>
      <x:c r="F12" t="str"/>
      <x:c r="G12" t="str"/>
      <x:c r="H12" t="str"/>
    </x:row>
    <x:row r="13">
      <x:c r="A13" t="str">
        <x:v>Interaction</x:v>
      </x:c>
      <x:c r="B13" t="str">
        <x:v>Multiple simultaneous participants</x:v>
      </x:c>
      <x:c r="C13" t="str">
        <x:v>Yes</x:v>
      </x:c>
      <x:c r="D13" t="str"/>
      <x:c r="E13" t="str"/>
      <x:c r="F13" t="str"/>
      <x:c r="G13" t="str"/>
      <x:c r="H13" t="str"/>
    </x:row>
    <x:row r="14">
      <x:c r="A14" t="str">
        <x:v>Interaction</x:v>
      </x:c>
      <x:c r="B14" t="str">
        <x:v>Direct participant interaction</x:v>
      </x:c>
      <x:c r="C14" t="str">
        <x:v>Yes</x:v>
      </x:c>
      <x:c r="D14" t="str"/>
      <x:c r="E14" t="str"/>
      <x:c r="F14" t="str"/>
      <x:c r="G14" t="str"/>
      <x:c r="H14" t="str"/>
    </x:row>
    <x:row r="15">
      <x:c r="A15" t="str">
        <x:v>Interaction</x:v>
      </x:c>
      <x:c r="B15" t="str">
        <x:v>Group decision-making</x:v>
      </x:c>
      <x:c r="C15" t="str">
        <x:v>Yes</x:v>
      </x:c>
      <x:c r="D15" t="str"/>
      <x:c r="E15" t="str"/>
      <x:c r="F15" t="str"/>
      <x:c r="G15" t="str"/>
      <x:c r="H15" t="str"/>
    </x:row>
    <x:row r="16">
      <x:c r="A16" t="str">
        <x:v>Task</x:v>
      </x:c>
      <x:c r="B16" t="str">
        <x:v>Uncertainty / incomplete information</x:v>
      </x:c>
      <x:c r="C16" t="str">
        <x:v>Yes</x:v>
      </x:c>
      <x:c r="D16" t="str"/>
      <x:c r="E16" t="str"/>
      <x:c r="F16" t="str"/>
      <x:c r="G16" t="str"/>
      <x:c r="H16" t="str"/>
    </x:row>
    <x:row r="17">
      <x:c r="A17" t="str">
        <x:v>Task</x:v>
      </x:c>
      <x:c r="B17" t="str">
        <x:v>Deception / social deduction</x:v>
      </x:c>
      <x:c r="C17" t="str">
        <x:v>Yes</x:v>
      </x:c>
      <x:c r="D17" t="str"/>
      <x:c r="E17" t="str"/>
      <x:c r="F17" t="str"/>
      <x:c r="G17" t="str"/>
      <x:c r="H17" t="str"/>
    </x:row>
    <x:row r="18">
      <x:c r="A18" t="str">
        <x:v>Task</x:v>
      </x:c>
      <x:c r="B18" t="str">
        <x:v>Repeated rounds / belief updating</x:v>
      </x:c>
      <x:c r="C18" t="str">
        <x:v>Yes</x:v>
      </x:c>
      <x:c r="D18" t="str"/>
      <x:c r="E18" t="str"/>
      <x:c r="F18" t="str"/>
      <x:c r="G18" t="str"/>
      <x:c r="H18" t="str"/>
    </x:row>
    <x:row r="19">
      <x:c r="A19" t="str">
        <x:v>Acquisition</x:v>
      </x:c>
      <x:c r="B19" t="str">
        <x:v>Synchronized multimodal streams</x:v>
      </x:c>
      <x:c r="C19" t="str">
        <x:v>Yes</x:v>
      </x:c>
      <x:c r="D19" t="str"/>
      <x:c r="E19" t="str"/>
      <x:c r="F19" t="str"/>
      <x:c r="G19" t="str"/>
      <x:c r="H19" t="str"/>
    </x:row>
    <x:row r="20">
      <x:c r="A20" t="str">
        <x:v>Acquisition</x:v>
      </x:c>
      <x:c r="B20" t="str">
        <x:v>Event markers</x:v>
      </x:c>
      <x:c r="C20" t="str">
        <x:v>Yes</x:v>
      </x:c>
      <x:c r="D20" t="str"/>
      <x:c r="E20" t="str"/>
      <x:c r="F20" t="str"/>
      <x:c r="G20" t="str"/>
      <x:c r="H20" t="str"/>
    </x:row>
    <x:row r="21">
      <x:c r="A21" t="str">
        <x:v>Acquisition</x:v>
      </x:c>
      <x:c r="B21" t="str">
        <x:v>Raw multimodal data retained</x:v>
      </x:c>
      <x:c r="C21" t="str">
        <x:v>Yes</x:v>
      </x:c>
      <x:c r="D21" t="str"/>
      <x:c r="E21" t="str"/>
      <x:c r="F21" t="str"/>
      <x:c r="G21" t="str"/>
      <x:c r="H21" t="str"/>
    </x:row>
    <x:row r="22">
      <x:c r="A22" t="str">
        <x:v>Dataset</x:v>
      </x:c>
      <x:c r="B22" t="str">
        <x:v>Behavior + physiology linked trial-by-trial</x:v>
      </x:c>
      <x:c r="C22" t="str">
        <x:v>Yes</x:v>
      </x:c>
      <x:c r="D22" t="str"/>
      <x:c r="E22" t="str"/>
      <x:c r="F22" t="str"/>
      <x:c r="G22" t="str"/>
      <x:c r="H22" t="str"/>
    </x:row>
    <x:row r="23">
      <x:c r="A23" t="str">
        <x:v>Dataset</x:v>
      </x:c>
      <x:c r="B23" t="str">
        <x:v>Public release planned</x:v>
      </x:c>
      <x:c r="C23" t="str">
        <x:v>Planned</x:v>
      </x:c>
      <x:c r="D23" t="str"/>
      <x:c r="E23" t="str"/>
      <x:c r="F23" t="str"/>
      <x:c r="G23" t="str"/>
      <x:c r="H23" t="str"/>
    </x:row>
    <x:row r="24">
      <x:c r="A24" t="str">
        <x:v>Rule</x:v>
      </x:c>
      <x:c r="B24" t="str">
        <x:v>Do not fill comparator cells from memory. Verify against the primary paper/dataset source.</x:v>
      </x:c>
      <x:c r="C24" t="str"/>
      <x:c r="D24" t="str"/>
      <x:c r="E24" t="str"/>
      <x:c r="F24" t="str"/>
      <x:c r="G24" t="str"/>
      <x:c r="H24"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5" t="str">
        <x:v>Record ID</x:v>
      </x:c>
      <x:c r="B1" s="5" t="str">
        <x:v>Title</x:v>
      </x:c>
      <x:c r="C1" s="5" t="str">
        <x:v>Stage</x:v>
      </x:c>
      <x:c r="D1" s="5" t="str">
        <x:v>Decision</x:v>
      </x:c>
      <x:c r="E1" s="5" t="str">
        <x:v>Reason</x:v>
      </x:c>
      <x:c r="F1" s="5" t="str">
        <x:v>Reviewer</x:v>
      </x:c>
      <x:c r="G1" s="5" t="str">
        <x:v>Date</x:v>
      </x:c>
      <x:c r="H1" s="5" t="str">
        <x:v>Notes</x:v>
      </x:c>
      <x:c r="I1" s="16"/>
      <x:c r="J1" s="16"/>
      <x:c r="K1" s="16"/>
      <x:c r="L1" s="16"/>
      <x:c r="M1" s="16"/>
      <x:c r="N1" s="16"/>
      <x:c r="O1" s="16"/>
      <x:c r="P1" s="16"/>
      <x:c r="Q1" s="16"/>
      <x:c r="R1" s="16"/>
      <x:c r="S1" s="16"/>
      <x:c r="T1" s="16"/>
      <x:c r="U1" s="16"/>
      <x:c r="V1" s="16"/>
      <x:c r="W1" s="16"/>
      <x:c r="X1" s="16"/>
      <x:c r="Y1" s="16"/>
      <x:c r="Z1" s="16"/>
    </x:row>
    <x:row r="2">
      <x:c r="A2" t="str"/>
      <x:c r="B2" t="str"/>
      <x:c r="C2" t="str">
        <x:v>Title/abstract</x:v>
      </x:c>
      <x:c r="D2" t="str">
        <x:v>Pending</x:v>
      </x:c>
      <x:c r="E2" t="str"/>
      <x:c r="F2" t="str"/>
      <x:c r="G2" t="str"/>
      <x:c r="H2"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s>
  <x:sheetData>
    <x:row r="1">
      <x:c r="A1" s="18" t="str">
        <x:v>Search Strategy Register</x:v>
      </x:c>
      <x:c r="B1" s="18" t="str"/>
      <x:c r="C1" s="18" t="str"/>
      <x:c r="D1" s="18" t="str"/>
      <x:c r="E1" s="16" t="str"/>
      <x:c r="F1" s="16" t="str"/>
      <x:c r="G1" s="16"/>
      <x:c r="H1" s="16"/>
      <x:c r="I1" s="16"/>
      <x:c r="J1" s="16"/>
      <x:c r="K1" s="16"/>
      <x:c r="L1" s="16"/>
      <x:c r="M1" s="16"/>
      <x:c r="N1" s="16"/>
      <x:c r="O1" s="16"/>
      <x:c r="P1" s="16"/>
      <x:c r="Q1" s="16"/>
      <x:c r="R1" s="16"/>
      <x:c r="S1" s="16"/>
      <x:c r="T1" s="16"/>
      <x:c r="U1" s="16"/>
      <x:c r="V1" s="16"/>
      <x:c r="W1" s="16"/>
      <x:c r="X1" s="16"/>
      <x:c r="Y1" s="16"/>
      <x:c r="Z1" s="16"/>
    </x:row>
    <x:row r="2">
      <x:c r="A2" t="str">
        <x:v>Database / Source</x:v>
      </x:c>
      <x:c r="B2" t="str">
        <x:v>Search String</x:v>
      </x:c>
      <x:c r="C2" t="str">
        <x:v>Date Searched</x:v>
      </x:c>
      <x:c r="D2" t="str">
        <x:v>Results Returned</x:v>
      </x:c>
      <x:c r="E2" t="str">
        <x:v>Records Added</x:v>
      </x:c>
      <x:c r="F2" t="str">
        <x:v>Notes</x:v>
      </x:c>
    </x:row>
    <x:row r="3">
      <x:c r="A3" t="str">
        <x:v>PubMed</x:v>
      </x:c>
      <x:c r="B3" t="str"/>
      <x:c r="C3" t="str"/>
      <x:c r="D3" t="str"/>
      <x:c r="E3" t="str"/>
      <x:c r="F3" t="str"/>
    </x:row>
    <x:row r="4">
      <x:c r="A4" t="str">
        <x:v>Scopus</x:v>
      </x:c>
      <x:c r="B4" t="str"/>
      <x:c r="C4" t="str"/>
      <x:c r="D4" t="str"/>
      <x:c r="E4" t="str"/>
      <x:c r="F4" t="str"/>
    </x:row>
    <x:row r="5">
      <x:c r="A5" t="str">
        <x:v>Web of Science</x:v>
      </x:c>
      <x:c r="B5" t="str"/>
      <x:c r="C5" t="str"/>
      <x:c r="D5" t="str"/>
      <x:c r="E5" t="str"/>
      <x:c r="F5" t="str"/>
    </x:row>
    <x:row r="6">
      <x:c r="A6" t="str">
        <x:v>IEEE Xplore</x:v>
      </x:c>
      <x:c r="B6" t="str"/>
      <x:c r="C6" t="str"/>
      <x:c r="D6" t="str"/>
      <x:c r="E6" t="str"/>
      <x:c r="F6" t="str"/>
    </x:row>
    <x:row r="7">
      <x:c r="A7" t="str">
        <x:v>Google Scholar</x:v>
      </x:c>
      <x:c r="B7" t="str"/>
      <x:c r="C7" t="str"/>
      <x:c r="D7" t="str"/>
      <x:c r="E7" t="str"/>
      <x:c r="F7" t="str"/>
    </x:row>
    <x:row r="8">
      <x:c r="A8" t="str">
        <x:v>OpenNeuro / NEMAR</x:v>
      </x:c>
      <x:c r="B8" t="str"/>
      <x:c r="C8" t="str"/>
      <x:c r="D8" t="str"/>
      <x:c r="E8" t="str"/>
      <x:c r="F8" t="str"/>
    </x:row>
    <x:row r="9">
      <x:c r="A9" t="str">
        <x:v>Zenodo / Figshare / Mendeley Data</x:v>
      </x:c>
      <x:c r="B9" t="str"/>
      <x:c r="C9" t="str"/>
      <x:c r="D9" t="str"/>
      <x:c r="E9" t="str"/>
      <x:c r="F9" t="str"/>
    </x:row>
    <x:row r="10">
      <x:c r="A10" t="str">
        <x:v>Citation chaining</x:v>
      </x:c>
      <x:c r="B10" t="str"/>
      <x:c r="C10" t="str"/>
      <x:c r="D10" t="str"/>
      <x:c r="E10" t="str"/>
      <x:c r="F10" t="str"/>
    </x:row>
    <x:row r="11">
      <x:c r="A11" t="str">
        <x:v>Key rule</x:v>
      </x:c>
      <x:c r="B11" t="str">
        <x:v>Use this sheet once the repository transitions from curated discovery to reproducible systematic/scoping review screening.</x:v>
      </x:c>
      <x:c r="C11" t="str"/>
      <x:c r="D11" t="str"/>
      <x:c r="E11" t="str"/>
      <x:c r="F11" t="str"/>
    </x:row>
    <x:row r="12">
      <x:c r="A12" t="str">
        <x:v>Status</x:v>
      </x:c>
      <x:c r="B12" t="str">
        <x:v>Not yet formalized</x:v>
      </x:c>
      <x:c r="C12" t="str"/>
      <x:c r="D12" t="str"/>
      <x:c r="E12" t="str"/>
      <x:c r="F12"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2" hidden="0" customWidth="1"/>
    <x:col min="2" max="2" width="32" hidden="0" customWidth="1"/>
    <x:col min="3" max="3" width="32" hidden="0" customWidth="1"/>
    <x:col min="4" max="4" width="32" hidden="0" customWidth="1"/>
  </x:cols>
  <x:sheetData>
    <x:row r="1">
      <x:c r="A1" s="18" t="str">
        <x:v>Field</x:v>
      </x:c>
      <x:c r="B1" s="18" t="str">
        <x:v>Allowed / Recommended Values</x:v>
      </x:c>
      <x:c r="C1" s="18" t="str">
        <x:v>Definition</x:v>
      </x:c>
      <x:c r="D1" s="18" t="str">
        <x:v>ARL use</x:v>
      </x:c>
      <x:c r="E1" s="16"/>
      <x:c r="F1" s="16"/>
      <x:c r="G1" s="16"/>
      <x:c r="H1" s="16"/>
      <x:c r="I1" s="16"/>
      <x:c r="J1" s="16"/>
      <x:c r="K1" s="16"/>
      <x:c r="L1" s="16"/>
      <x:c r="M1" s="16"/>
      <x:c r="N1" s="16"/>
      <x:c r="O1" s="16"/>
      <x:c r="P1" s="16"/>
      <x:c r="Q1" s="16"/>
      <x:c r="R1" s="16"/>
      <x:c r="S1" s="16"/>
      <x:c r="T1" s="16"/>
      <x:c r="U1" s="16"/>
      <x:c r="V1" s="16"/>
      <x:c r="W1" s="16"/>
      <x:c r="X1" s="16"/>
      <x:c r="Y1" s="16"/>
      <x:c r="Z1" s="16"/>
    </x:row>
    <x:row r="2">
      <x:c r="A2" t="str">
        <x:v>Evidence Relevance Tier</x:v>
      </x:c>
      <x:c r="B2" t="str">
        <x:v>Tier 1–Tier 5</x:v>
      </x:c>
      <x:c r="C2" t="str">
        <x:v>Operational relevance grouping, not paper quality.</x:v>
      </x:c>
      <x:c r="D2" t="str">
        <x:v>Helps prioritize reading.</x:v>
      </x:c>
    </x:row>
    <x:row r="3">
      <x:c r="A3" t="str">
        <x:v>Evidence Role</x:v>
      </x:c>
      <x:c r="B3" t="str">
        <x:v>Direct Comparator; Modality Comparator; Decision-Making Comparator; Social/Group Comparator; Synchronization Comparator; Background Evidence</x:v>
      </x:c>
      <x:c r="C3" t="str">
        <x:v>How a record contributes to the evidence map.</x:v>
      </x:c>
      <x:c r="D3" t="str">
        <x:v>Separates different forms of relevance.</x:v>
      </x:c>
    </x:row>
    <x:row r="4">
      <x:c r="A4" t="str">
        <x:v>Record Type</x:v>
      </x:c>
      <x:c r="B4" t="str">
        <x:v>Dataset paper; Research paper; Review; Methods paper; Standard</x:v>
      </x:c>
      <x:c r="C4" t="str">
        <x:v>What kind of evidence the record represents.</x:v>
      </x:c>
      <x:c r="D4" t="str">
        <x:v>Prevents datasets and studies being conflated.</x:v>
      </x:c>
    </x:row>
    <x:row r="5">
      <x:c r="A5" t="str">
        <x:v>Interaction Level</x:v>
      </x:c>
      <x:c r="B5" t="str">
        <x:v>Individual; Dyad; Group; N/A</x:v>
      </x:c>
      <x:c r="C5" t="str">
        <x:v>Number/structure of interacting humans.</x:v>
      </x:c>
      <x:c r="D5" t="str">
        <x:v>Tests ARL social interaction gap.</x:v>
      </x:c>
    </x:row>
    <x:row r="6">
      <x:c r="A6" t="str">
        <x:v>Verification Status</x:v>
      </x:c>
      <x:c r="B6" t="str">
        <x:v>Source checked; Candidate — needs primary-source verification; Legacy entry — re-verification required</x:v>
      </x:c>
      <x:c r="C6" t="str">
        <x:v>Evidence-quality state.</x:v>
      </x:c>
      <x:c r="D6" t="str">
        <x:v>Prevents unverified claims.</x:v>
      </x:c>
    </x:row>
    <x:row r="7">
      <x:c r="A7" t="str">
        <x:v>Reading Status</x:v>
      </x:c>
      <x:c r="B7" t="str">
        <x:v>Not read; Screened; Partial read; Full read; Extracted; Verified</x:v>
      </x:c>
      <x:c r="C7" t="str">
        <x:v>Review progress.</x:v>
      </x:c>
      <x:c r="D7" t="str">
        <x:v>Tracks literature workflow.</x:v>
      </x:c>
    </x:row>
    <x:row r="8">
      <x:c r="A8" t="str">
        <x:v>Review Eligibility</x:v>
      </x:c>
      <x:c r="B8" t="str">
        <x:v>Pending; Include; Exclude; Background only</x:v>
      </x:c>
      <x:c r="C8" t="str">
        <x:v>Formal screening decision.</x:v>
      </x:c>
      <x:c r="D8" t="str">
        <x:v>Needed for systematic review.</x:v>
      </x:c>
    </x:row>
    <x:row r="9">
      <x:c r="A9" t="str">
        <x:v>Core ARL dimension</x:v>
      </x:c>
      <x:c r="B9" t="str">
        <x:v>Sensing</x:v>
      </x:c>
      <x:c r="C9" t="str">
        <x:v>Modality overlap.</x:v>
      </x:c>
      <x:c r="D9" t="str">
        <x:v>Novelty analysis.</x:v>
      </x:c>
    </x:row>
    <x:row r="10">
      <x:c r="A10" t="str">
        <x:v>Core ARL dimension</x:v>
      </x:c>
      <x:c r="B10" t="str">
        <x:v>Decision / task</x:v>
      </x:c>
      <x:c r="C10" t="str">
        <x:v>Decision, uncertainty, confidence, deception, repeated rounds.</x:v>
      </x:c>
      <x:c r="D10" t="str">
        <x:v>Novelty analysis.</x:v>
      </x:c>
    </x:row>
    <x:row r="11">
      <x:c r="A11" t="str">
        <x:v>Core ARL dimension</x:v>
      </x:c>
      <x:c r="B11" t="str">
        <x:v>Interaction</x:v>
      </x:c>
      <x:c r="C11" t="str">
        <x:v>Individual/dyad/group and simultaneous interaction.</x:v>
      </x:c>
      <x:c r="D11" t="str">
        <x:v>Novelty analysis.</x:v>
      </x:c>
    </x:row>
    <x:row r="12">
      <x:c r="A12" t="str">
        <x:v>Core ARL dimension</x:v>
      </x:c>
      <x:c r="B12" t="str">
        <x:v>Acquisition</x:v>
      </x:c>
      <x:c r="C12" t="str">
        <x:v>Synchronization, event markers, raw streams.</x:v>
      </x:c>
      <x:c r="D12" t="str">
        <x:v>Novelty analysis.</x:v>
      </x:c>
    </x:row>
    <x:row r="13">
      <x:c r="A13" t="str">
        <x:v>Golden rule</x:v>
      </x:c>
      <x:c r="B13" t="str">
        <x:v>The repository must be capable of disproving ARL uniqueness.</x:v>
      </x:c>
      <x:c r="C13" t="str">
        <x:v>Do not curate only confirming evidence.</x:v>
      </x:c>
      <x:c r="D13" t="str">
        <x:v>Avoid confirmation bias.</x:v>
      </x:c>
    </x:row>
    <x:row r="14">
      <x:c r="A14" t="str">
        <x:v>Ownership rule</x:v>
      </x:c>
      <x:c r="B14" t="str">
        <x:v>External datasets remain attributed to original authors/institutions.</x:v>
      </x:c>
      <x:c r="C14" t="str">
        <x:v>Portal should clearly label external evidence.</x:v>
      </x:c>
      <x:c r="D14" t="str">
        <x:v>Avoid confusion that studies were conducted by ARL.</x:v>
      </x:c>
    </x:row>
    <x:row r="15">
      <x:c r="A15" t="str">
        <x:v>Scope statement</x:v>
      </x:c>
      <x:c r="B15" t="str">
        <x:v>Multimodal physiological datasets and experimental studies relevant to synchronized decision-making.</x:v>
      </x:c>
      <x:c r="C15" t="str">
        <x:v>Current repository scope.</x:v>
      </x:c>
      <x:c r="D15" t="str">
        <x:v>Keep expansion focused.</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2" hidden="0" customWidth="1"/>
    <x:col min="2" max="2" width="70" hidden="0" customWidth="1"/>
  </x:cols>
  <x:sheetData>
    <x:row r="1">
      <x:c r="A1" s="5" t="str">
        <x:v>Column</x:v>
      </x:c>
      <x:c r="B1" s="5" t="str">
        <x:v>Definition</x:v>
      </x:c>
      <x:c r="C1" s="16"/>
      <x:c r="D1" s="16"/>
      <x:c r="E1" s="16"/>
      <x:c r="F1" s="16"/>
      <x:c r="G1" s="16"/>
      <x:c r="H1" s="16"/>
      <x:c r="I1" s="16"/>
      <x:c r="J1" s="16"/>
      <x:c r="K1" s="16"/>
      <x:c r="L1" s="16"/>
      <x:c r="M1" s="16"/>
      <x:c r="N1" s="16"/>
      <x:c r="O1" s="16"/>
      <x:c r="P1" s="16"/>
      <x:c r="Q1" s="16"/>
      <x:c r="R1" s="16"/>
      <x:c r="S1" s="16"/>
      <x:c r="T1" s="16"/>
      <x:c r="U1" s="16"/>
      <x:c r="V1" s="16"/>
      <x:c r="W1" s="16"/>
      <x:c r="X1" s="16"/>
      <x:c r="Y1" s="16"/>
      <x:c r="Z1" s="16"/>
    </x:row>
    <x:row r="2">
      <x:c r="A2" t="str">
        <x:v>Record ID</x:v>
      </x:c>
      <x:c r="B2" t="str">
        <x:v>Stable repository identifier (MDMER-####).</x:v>
      </x:c>
    </x:row>
    <x:row r="3">
      <x:c r="A3" t="str">
        <x:v>Evidence Relevance Tier</x:v>
      </x:c>
      <x:c r="B3" t="str">
        <x:v>Tier 1–5 operational relevance classification.</x:v>
      </x:c>
    </x:row>
    <x:row r="4">
      <x:c r="A4" t="str">
        <x:v>Primary Category</x:v>
      </x:c>
      <x:c r="B4" t="str">
        <x:v>Main evidence domain.</x:v>
      </x:c>
    </x:row>
    <x:row r="5">
      <x:c r="A5" t="str">
        <x:v>Record Type</x:v>
      </x:c>
      <x:c r="B5" t="str">
        <x:v>Dataset paper, research paper, review, methods paper, etc.</x:v>
      </x:c>
    </x:row>
    <x:row r="6">
      <x:c r="A6" t="str">
        <x:v>Title / Dataset</x:v>
      </x:c>
      <x:c r="B6" t="str">
        <x:v>Canonical title of paper or dataset record.</x:v>
      </x:c>
    </x:row>
    <x:row r="7">
      <x:c r="A7" t="str">
        <x:v>Year</x:v>
      </x:c>
      <x:c r="B7" t="str">
        <x:v>Publication/release year.</x:v>
      </x:c>
    </x:row>
    <x:row r="8">
      <x:c r="A8" t="str">
        <x:v>Primary Authors / Source</x:v>
      </x:c>
      <x:c r="B8" t="str">
        <x:v>Lead authors or principal source.</x:v>
      </x:c>
    </x:row>
    <x:row r="9">
      <x:c r="A9" t="str">
        <x:v>Institution / Dataset Owner</x:v>
      </x:c>
      <x:c r="B9" t="str">
        <x:v>Original institution/owner; not ARL unless explicitly an ARL record.</x:v>
      </x:c>
    </x:row>
    <x:row r="10">
      <x:c r="A10" t="str">
        <x:v>Modalities / Signals</x:v>
      </x:c>
      <x:c r="B10" t="str">
        <x:v>Recorded sensing/behavior modalities.</x:v>
      </x:c>
    </x:row>
    <x:row r="11">
      <x:c r="A11" t="str">
        <x:v>Interaction Level</x:v>
      </x:c>
      <x:c r="B11" t="str">
        <x:v>Individual, dyad, group, or N/A.</x:v>
      </x:c>
    </x:row>
    <x:row r="12">
      <x:c r="A12" t="str">
        <x:v>Task / Paradigm</x:v>
      </x:c>
      <x:c r="B12" t="str">
        <x:v>Experimental task or paradigm.</x:v>
      </x:c>
    </x:row>
    <x:row r="13">
      <x:c r="A13" t="str">
        <x:v>Access Status</x:v>
      </x:c>
      <x:c r="B13" t="str">
        <x:v>Public, registration, restricted, article only, etc.</x:v>
      </x:c>
    </x:row>
    <x:row r="14">
      <x:c r="A14" t="str">
        <x:v>Dataset / Access URL</x:v>
      </x:c>
      <x:c r="B14" t="str">
        <x:v>Direct dataset/repository URL where available.</x:v>
      </x:c>
    </x:row>
    <x:row r="15">
      <x:c r="A15" t="str">
        <x:v>Paper / Reference URL</x:v>
      </x:c>
      <x:c r="B15" t="str">
        <x:v>Publisher, DOI, or scholarly reference URL.</x:v>
      </x:c>
    </x:row>
    <x:row r="16">
      <x:c r="A16" t="str">
        <x:v>Evidence Role</x:v>
      </x:c>
      <x:c r="B16" t="str">
        <x:v>How the record contributes to ARL comparison.</x:v>
      </x:c>
    </x:row>
    <x:row r="17">
      <x:c r="A17" t="str">
        <x:v>Relevance to Synchronized Decision-Making</x:v>
      </x:c>
      <x:c r="B17" t="str">
        <x:v>Concise reason the record is in scope.</x:v>
      </x:c>
    </x:row>
    <x:row r="18">
      <x:c r="A18" t="str">
        <x:v>Key Difference vs Proposed ARL Dataset</x:v>
      </x:c>
      <x:c r="B18" t="str">
        <x:v>Difference to be verified against the proposed ARL design.</x:v>
      </x:c>
    </x:row>
    <x:row r="19">
      <x:c r="A19" t="str">
        <x:v>Priority</x:v>
      </x:c>
      <x:c r="B19" t="str">
        <x:v>Reading/audit priority.</x:v>
      </x:c>
    </x:row>
    <x:row r="20">
      <x:c r="A20" t="str">
        <x:v>Verification Status</x:v>
      </x:c>
      <x:c r="B20" t="str">
        <x:v>Whether primary source has been checked.</x:v>
      </x:c>
    </x:row>
    <x:row r="21">
      <x:c r="A21" t="str">
        <x:v>Reading Status</x:v>
      </x:c>
      <x:c r="B21" t="str">
        <x:v>Progress of full-text review/extraction.</x:v>
      </x:c>
    </x:row>
    <x:row r="22">
      <x:c r="A22" t="str">
        <x:v>Discovery Method</x:v>
      </x:c>
      <x:c r="B22" t="str">
        <x:v>How the record was found.</x:v>
      </x:c>
    </x:row>
    <x:row r="23">
      <x:c r="A23" t="str">
        <x:v>Systematic Review Eligibility</x:v>
      </x:c>
      <x:c r="B23" t="str">
        <x:v>Pending/include/exclude/background-only.</x:v>
      </x:c>
    </x:row>
    <x:row r="24">
      <x:c r="A24" t="str">
        <x:v>Exclusion Reason</x:v>
      </x:c>
      <x:c r="B24" t="str">
        <x:v>Reason for exclusion when applicable.</x:v>
      </x:c>
    </x:row>
    <x:row r="25">
      <x:c r="A25" t="str">
        <x:v>Notes</x:v>
      </x:c>
      <x:c r="B25" t="str">
        <x:v>Freeform research notes.</x:v>
      </x:c>
    </x:row>
    <x:row r="26">
      <x:c r="A26" t="str">
        <x:v>Source Verified Date</x:v>
      </x:c>
      <x:c r="B26" t="str">
        <x:v>Date primary-source metadata was last verified.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18" t="str">
        <x:v>MDMER v2.0 Dashboard</x:v>
      </x:c>
      <x:c r="B1" s="18" t="str"/>
      <x:c r="C1" s="18" t="str"/>
      <x:c r="D1" s="18" t="str"/>
      <x:c r="E1" s="16"/>
      <x:c r="F1" s="16"/>
      <x:c r="G1" s="16"/>
      <x:c r="H1" s="16"/>
      <x:c r="I1" s="16"/>
      <x:c r="J1" s="16"/>
      <x:c r="K1" s="16"/>
      <x:c r="L1" s="16"/>
      <x:c r="M1" s="16"/>
      <x:c r="N1" s="16"/>
      <x:c r="O1" s="16"/>
      <x:c r="P1" s="16"/>
      <x:c r="Q1" s="16"/>
      <x:c r="R1" s="16"/>
      <x:c r="S1" s="16"/>
      <x:c r="T1" s="16"/>
      <x:c r="U1" s="16"/>
      <x:c r="V1" s="16"/>
      <x:c r="W1" s="16"/>
      <x:c r="X1" s="16"/>
      <x:c r="Y1" s="16"/>
      <x:c r="Z1" s="16"/>
    </x:row>
    <x:row r="2">
      <x:c r="A2" t="str">
        <x:v>Metric</x:v>
      </x:c>
      <x:c r="B2" t="str">
        <x:v>Value</x:v>
      </x:c>
      <x:c r="C2" t="str">
        <x:v>Interpretation</x:v>
      </x:c>
      <x:c r="D2" t="str"/>
    </x:row>
    <x:row r="3">
      <x:c r="A3" t="str">
        <x:v>Total records</x:v>
      </x:c>
      <x:c r="B3" t="n">
        <x:f>COUNTA(Master_Evidence!A2:A151)</x:f>
        <x:v>150</x:v>
      </x:c>
      <x:c r="C3" t="str">
        <x:v>Current evidence corpus</x:v>
      </x:c>
      <x:c r="D3" t="str"/>
    </x:row>
    <x:row r="4">
      <x:c r="A4" t="str">
        <x:v>Dataset records</x:v>
      </x:c>
      <x:c r="B4" t="n">
        <x:f>COUNTIF(Master_Evidence!D2:D151,"Dataset paper")</x:f>
        <x:v>69</x:v>
      </x:c>
      <x:c r="C4" t="str">
        <x:v>Records classified as dataset papers</x:v>
      </x:c>
      <x:c r="D4" t="str"/>
    </x:row>
    <x:row r="5">
      <x:c r="A5" t="str">
        <x:v>Research papers</x:v>
      </x:c>
      <x:c r="B5" t="n">
        <x:f>COUNTIF(Master_Evidence!D2:D151,"Research paper")</x:f>
        <x:v>62</x:v>
      </x:c>
      <x:c r="C5" t="str">
        <x:v>Experimental / empirical papers</x:v>
      </x:c>
      <x:c r="D5" t="str"/>
    </x:row>
    <x:row r="6">
      <x:c r="A6" t="str">
        <x:v>Tier 1</x:v>
      </x:c>
      <x:c r="B6" t="n">
        <x:f>COUNTIF(Master_Evidence!B2:B151,"Tier 1")</x:f>
        <x:v>29</x:v>
      </x:c>
      <x:c r="C6" t="str">
        <x:v>Direct/core evidence</x:v>
      </x:c>
      <x:c r="D6" t="str"/>
    </x:row>
    <x:row r="7">
      <x:c r="A7" t="str">
        <x:v>Tier 2</x:v>
      </x:c>
      <x:c r="B7" t="n">
        <x:f>COUNTIF(Master_Evidence!B2:B151,"Tier 2")</x:f>
        <x:v>44</x:v>
      </x:c>
      <x:c r="C7" t="str">
        <x:v>Social/group evidence</x:v>
      </x:c>
      <x:c r="D7" t="str"/>
    </x:row>
    <x:row r="8">
      <x:c r="A8" t="str">
        <x:v>Tier 3</x:v>
      </x:c>
      <x:c r="B8" t="n">
        <x:f>COUNTIF(Master_Evidence!B2:B151,"Tier 3")</x:f>
        <x:v>48</x:v>
      </x:c>
      <x:c r="C8" t="str">
        <x:v>Decision/deception evidence</x:v>
      </x:c>
      <x:c r="D8" t="str"/>
    </x:row>
    <x:row r="9">
      <x:c r="A9" t="str">
        <x:v>Tier 4</x:v>
      </x:c>
      <x:c r="B9" t="n">
        <x:f>COUNTIF(Master_Evidence!B2:B151,"Tier 4")</x:f>
        <x:v>25</x:v>
      </x:c>
      <x:c r="C9" t="str">
        <x:v>Modality/background evidence</x:v>
      </x:c>
      <x:c r="D9" t="str"/>
    </x:row>
    <x:row r="10">
      <x:c r="A10" t="str">
        <x:v>Tier 5</x:v>
      </x:c>
      <x:c r="B10" t="n">
        <x:f>COUNTIF(Master_Evidence!B2:B151,"Tier 5")</x:f>
        <x:v>4</x:v>
      </x:c>
      <x:c r="C10" t="str">
        <x:v>Synchronization/infrastructure evidence</x:v>
      </x:c>
      <x:c r="D10" t="str"/>
    </x:row>
    <x:row r="11">
      <x:c r="A11" t="str">
        <x:v>Source checked</x:v>
      </x:c>
      <x:c r="B11" t="n">
        <x:f>COUNTIF(Master_Evidence!S2:S151,"Source checked")</x:f>
        <x:v>17</x:v>
      </x:c>
      <x:c r="C11" t="str">
        <x:v>Expansion entries directly checked against a source during this build</x:v>
      </x:c>
      <x:c r="D11" t="str"/>
    </x:row>
    <x:row r="12">
      <x:c r="A12" t="str">
        <x:v>Needs verification</x:v>
      </x:c>
      <x:c r="B12" t="n">
        <x:f>COUNTIF(Master_Evidence!S2:S151,"Candidate — needs primary-source verification")+COUNTIF(Master_Evidence!S2:S151,"Legacy entry — re-verification required")</x:f>
        <x:v>133</x:v>
      </x:c>
      <x:c r="C12" t="str">
        <x:v>Records requiring primary-source audit</x:v>
      </x:c>
      <x:c r="D12" t="str"/>
    </x:row>
    <x:row r="13">
      <x:c r="A13" t="str">
        <x:v>Systematic review included</x:v>
      </x:c>
      <x:c r="B13" t="n">
        <x:f>COUNTIF(Master_Evidence!V2:V151,"Include")</x:f>
        <x:v>0</x:v>
      </x:c>
      <x:c r="C13" t="str">
        <x:v>Will remain low until screening protocol is formalized</x:v>
      </x:c>
      <x:c r="D13" t="str"/>
    </x:row>
    <x:row r="14">
      <x:c r="A14" t="str">
        <x:v>Scope</x:v>
      </x:c>
      <x:c r="B14" t="str">
        <x:v>Multimodal physiological datasets and studies relevant to synchronized decision-making</x:v>
      </x:c>
      <x:c r="C14" t="str"/>
      <x:c r="D14" t="str"/>
    </x:row>
    <x:row r="16">
      <x:c r="A16" s="25" t="str">
        <x:v>Direct Comparator Audit Update</x:v>
      </x:c>
    </x:row>
    <x:row r="17" ht="75" customHeight="1">
      <x:c r="A17" s="16" t="str">
        <x:v>25 comparators have now been deeply audited across sensing, interaction, decision structure, confidence, deception, repetition, and synchronization. Two additional direct-comparator studies discovered during the audit were added to Master_Evidence (MDMER-0151 and MDMER-0152). Current evidence-gap hypothesis: no audited work combines the full proposed ARL feature set; this is not yet the final novelty conclusion.</x:v>
      </x:c>
    </x:row>
    <x:row r="21">
      <x:c r="A21" s="35" t="str">
        <x:v>50-Comparator Audit Milestone</x:v>
      </x:c>
    </x:row>
    <x:row r="22" ht="95" customHeight="1">
      <x:c r="A22" s="16" t="str">
        <x:v>50 comparators are now characterized. The second batch adds strong coverage of affect/stress datasets (ASCERTAIN, WESAD, DECAF, UBFC-Phys), group-interaction corpora (AMI, ICSI, ELEA, MatchNMingle, NoXi, MPIIGroupInteraction), EEG-eye methodology, and collective-confidence / hidden-profile studies. Current working gap: no audited record matches the full ARL intersection of group &gt;=3, broad neural/peripheral sensing, eye tracking, audiovisual interaction, repeated decisions, confidence and deception.</x:v>
      </x:c>
    </x:row>
    <x:row r="27">
      <x:c r="A27" s="41" t="str">
        <x:v>Targeted Gap-Challenge Search — Key Result</x:v>
      </x:c>
    </x:row>
    <x:row r="28" ht="120" customHeight="1">
      <x:c r="A28" s="16" t="str">
        <x:v>The targeted challenge search substantially narrowed the ARL novelty claim. The strongest new comparator is Kennedy et al. (2026): groups of three perform repeated cooperative rounds, a hidden adversary sabotages selected rounds, and triadic EEG, video and event markers are synchronized via LSL. Other new challengers show 3-person synchronized ECG/EDA group decisions, 5-person physiological persuasion tasks, and 3-person EyeLogic group decision-making. Therefore ARL should not claim novelty from group size, deception/adversary manipulation, EEG hyperscanning, eye tracking, physiology, repeated rounds, or LSL individually. The strongest surviving gap is their full intersection with broad multimodal sensing and explicit confidence.</x:v>
      </x:c>
    </x:row>
  </x:sheetData>
  <x:mergeCells>
    <x:mergeCell ref="A16:C16"/>
    <x:mergeCell ref="A17:C19"/>
    <x:mergeCell ref="A21:C21"/>
    <x:mergeCell ref="A22:C25"/>
    <x:mergeCell ref="A27:C27"/>
    <x:mergeCell ref="A28:C32"/>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4" hidden="0" customWidth="1"/>
    <x:col min="3" max="3" width="34"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22" hidden="0" customWidth="1"/>
    <x:col min="12" max="12" width="25" hidden="0" customWidth="1"/>
    <x:col min="13" max="13" width="28" hidden="0" customWidth="1"/>
    <x:col min="14" max="14" width="14" hidden="0" customWidth="1"/>
    <x:col min="15" max="15" width="24" hidden="0" customWidth="1"/>
    <x:col min="16" max="16" width="34" hidden="0" customWidth="1"/>
    <x:col min="17" max="17" width="38" hidden="0" customWidth="1"/>
    <x:col min="18" max="18" width="22" hidden="0" customWidth="1"/>
    <x:col min="19" max="19" width="38" hidden="0" customWidth="1"/>
    <x:col min="20" max="20" width="38" hidden="0" customWidth="1"/>
    <x:col min="21" max="21" width="24" hidden="0" customWidth="1"/>
    <x:col min="22" max="22" width="42" hidden="0" customWidth="1"/>
    <x:col min="23" max="23" width="42" hidden="0" customWidth="1"/>
  </x:cols>
  <x:sheetData>
    <x:row r="1">
      <x:c r="A1" s="23" t="str">
        <x:v>Comparator</x:v>
      </x:c>
      <x:c r="B1" s="23" t="str">
        <x:v>Participants / Group</x:v>
      </x:c>
      <x:c r="C1" s="23" t="str">
        <x:v>Primary Task</x:v>
      </x:c>
      <x:c r="D1" s="23" t="str">
        <x:v>EEG</x:v>
      </x:c>
      <x:c r="E1" s="23" t="str">
        <x:v>ECG / PPG</x:v>
      </x:c>
      <x:c r="F1" s="23" t="str">
        <x:v>EDA / GSR</x:v>
      </x:c>
      <x:c r="G1" s="23" t="str">
        <x:v>EMG</x:v>
      </x:c>
      <x:c r="H1" s="23" t="str">
        <x:v>Eye Tracking</x:v>
      </x:c>
      <x:c r="I1" s="23" t="str">
        <x:v>Audio</x:v>
      </x:c>
      <x:c r="J1" s="23" t="str">
        <x:v>Video</x:v>
      </x:c>
      <x:c r="K1" s="23" t="str">
        <x:v>Interactive?</x:v>
      </x:c>
      <x:c r="L1" s="23" t="str">
        <x:v>Decision-Making?</x:v>
      </x:c>
      <x:c r="M1" s="23" t="str">
        <x:v>Confidence / Self-report</x:v>
      </x:c>
      <x:c r="N1" s="23" t="str">
        <x:v>Deception?</x:v>
      </x:c>
      <x:c r="O1" s="23" t="str">
        <x:v>Repeated / Multi-task</x:v>
      </x:c>
      <x:c r="P1" s="23" t="str">
        <x:v>Synchronization</x:v>
      </x:c>
      <x:c r="Q1" s="23" t="str">
        <x:v>Key Hardware / Rates</x:v>
      </x:c>
      <x:c r="R1" s="23" t="str">
        <x:v>Dataset Access</x:v>
      </x:c>
      <x:c r="S1" s="23" t="str">
        <x:v>Closest ARL Similarity</x:v>
      </x:c>
      <x:c r="T1" s="23" t="str">
        <x:v>Critical Difference from ARL</x:v>
      </x:c>
      <x:c r="U1" s="23" t="str">
        <x:v>Verification Status</x:v>
      </x:c>
      <x:c r="V1" s="23" t="str">
        <x:v>Primary Source</x:v>
      </x:c>
      <x:c r="W1" s="23" t="str">
        <x:v>Dataset / Access Source</x:v>
      </x:c>
    </x:row>
    <x:row r="2">
      <x:c r="A2" s="16" t="str">
        <x:v>AMIGOS</x:v>
      </x:c>
      <x:c r="B2" s="16" t="str">
        <x:v>40; individual + 4-person group condition</x:v>
      </x:c>
      <x:c r="C2" s="16" t="str">
        <x:v>Short/long emotional video viewing; group condition is co-viewing</x:v>
      </x:c>
      <x:c r="D2" s="16" t="str">
        <x:v>Yes</x:v>
      </x:c>
      <x:c r="E2" s="16" t="str">
        <x:v>Yes</x:v>
      </x:c>
      <x:c r="F2" s="16" t="str">
        <x:v>Yes</x:v>
      </x:c>
      <x:c r="G2" s="16" t="str">
        <x:v>No reported</x:v>
      </x:c>
      <x:c r="H2" s="16" t="str">
        <x:v>No</x:v>
      </x:c>
      <x:c r="I2" s="16" t="str">
        <x:v>Reported in paper comparison table; exact released audio coverage should be rechecked</x:v>
      </x:c>
      <x:c r="J2" s="16" t="str">
        <x:v>Yes</x:v>
      </x:c>
      <x:c r="K2" s="16" t="str">
        <x:v>Social context, not an interactive decision task</x:v>
      </x:c>
      <x:c r="L2" s="16" t="str">
        <x:v>No</x:v>
      </x:c>
      <x:c r="M2" s="16" t="str">
        <x:v>Affect/self-assessment</x:v>
      </x:c>
      <x:c r="N2" s="16" t="str">
        <x:v>No</x:v>
      </x:c>
      <x:c r="O2" s="16" t="str">
        <x:v>Repeated stimuli; individual and group conditions</x:v>
      </x:c>
      <x:c r="P2" s="16" t="str">
        <x:v>Central PC presented stimuli, acquired/synchronized signals and self-assessment</x:v>
      </x:c>
      <x:c r="Q2" s="16" t="str">
        <x:v>Emotiv EPOC 14-ch 128 Hz; Shimmer ECG 256 Hz; Shimmer GSR 128 Hz; JVC HD + Kinect RGB/depth</x:v>
      </x:c>
      <x:c r="R2" s="16" t="str">
        <x:v>Restricted/request via EULA</x:v>
      </x:c>
      <x:c r="S2" s="16" t="str">
        <x:v>Multi-person + wearable EEG/ECG/GSR + video</x:v>
      </x:c>
      <x:c r="T2" s="16" t="str">
        <x:v>Participants primarily watch stimuli; no repeated social decision/vote/confidence/deception structure</x:v>
      </x:c>
      <x:c r="U2" s="16" t="str">
        <x:v>Primary-source verified</x:v>
      </x:c>
      <x:c r="V2" s="16" t="str">
        <x:v>https://www.eecs.qmul.ac.uk/mmv/datasets/amigos/doc/Paper_TAC.pdf</x:v>
      </x:c>
      <x:c r="W2" s="16" t="str">
        <x:v>https://eecs.qmul.ac.uk/mmv/datasets/amigos/</x:v>
      </x:c>
    </x:row>
    <x:row r="3">
      <x:c r="A3" s="16" t="str">
        <x:v>MAHNOB-HCI</x:v>
      </x:c>
      <x:c r="B3" s="16" t="str">
        <x:v>27 usable participants; individual</x:v>
      </x:c>
      <x:c r="C3" s="16" t="str">
        <x:v>Emotion elicitation + implicit multimedia tagging</x:v>
      </x:c>
      <x:c r="D3" s="16" t="str">
        <x:v>Yes</x:v>
      </x:c>
      <x:c r="E3" s="16" t="str">
        <x:v>Yes</x:v>
      </x:c>
      <x:c r="F3" s="16" t="str">
        <x:v>Yes</x:v>
      </x:c>
      <x:c r="G3" s="16" t="str">
        <x:v>No reported</x:v>
      </x:c>
      <x:c r="H3" s="16" t="str">
        <x:v>Yes</x:v>
      </x:c>
      <x:c r="I3" s="16" t="str">
        <x:v>Yes</x:v>
      </x:c>
      <x:c r="J3" s="16" t="str">
        <x:v>Yes</x:v>
      </x:c>
      <x:c r="K3" s="16" t="str">
        <x:v>No interpersonal interaction</x:v>
      </x:c>
      <x:c r="L3" s="16" t="str">
        <x:v>Limited: tag agreement/disagreement, not group decision-making</x:v>
      </x:c>
      <x:c r="M3" s="16" t="str">
        <x:v>Arousal/valence/dominance/predictability + emotion labels</x:v>
      </x:c>
      <x:c r="N3" s="16" t="str">
        <x:v>No</x:v>
      </x:c>
      <x:c r="O3" s="16" t="str">
        <x:v>Multiple stimuli/trials</x:v>
      </x:c>
      <x:c r="P3" s="16" t="str">
        <x:v>Synchronized multimodal setup; central monitoring/trigger/timestamp approach reported</x:v>
      </x:c>
      <x:c r="Q3" s="16" t="str">
        <x:v>BioSemi ActiveTwo 32-ch EEG; physiology 1024 Hz (commonly downsampled 256 Hz); Tobii gaze 60 Hz; microphones; multi-camera video</x:v>
      </x:c>
      <x:c r="R3" s="16" t="str">
        <x:v>Academic database access</x:v>
      </x:c>
      <x:c r="S3" s="16" t="str">
        <x:v>Very rich multimodal sensing + eye gaze + audio/video</x:v>
      </x:c>
      <x:c r="T3" s="16" t="str">
        <x:v>Individual stimulus-response paradigm; no interacting group, social deduction, repeated voting/confidence process</x:v>
      </x:c>
      <x:c r="U3" s="16" t="str">
        <x:v>Primary-source + corroborating source verified</x:v>
      </x:c>
      <x:c r="V3" s="16" t="str">
        <x:v>https://doi.org/10.1109/T-AFFC.2011.25</x:v>
      </x:c>
      <x:c r="W3" s="16" t="str">
        <x:v>https://mahnob-db.eu/</x:v>
      </x:c>
    </x:row>
    <x:row r="4">
      <x:c r="A4" s="16" t="str">
        <x:v>K-EmoCon</x:v>
      </x:c>
      <x:c r="B4" s="16" t="str">
        <x:v>32 participants; 16 dyads</x:v>
      </x:c>
      <x:c r="C4" s="16" t="str">
        <x:v>Approx. 10-min face-to-face debate on a social issue</x:v>
      </x:c>
      <x:c r="D4" s="16" t="str">
        <x:v>Yes</x:v>
      </x:c>
      <x:c r="E4" s="16" t="str">
        <x:v>ECG-derived HR + PPG</x:v>
      </x:c>
      <x:c r="F4" s="16" t="str">
        <x:v>Yes</x:v>
      </x:c>
      <x:c r="G4" s="16" t="str">
        <x:v>No</x:v>
      </x:c>
      <x:c r="H4" s="16" t="str">
        <x:v>No</x:v>
      </x:c>
      <x:c r="I4" s="16" t="str">
        <x:v>Yes</x:v>
      </x:c>
      <x:c r="J4" s="16" t="str">
        <x:v>Yes</x:v>
      </x:c>
      <x:c r="K4" s="16" t="str">
        <x:v>Yes — naturalistic dyadic debate</x:v>
      </x:c>
      <x:c r="L4" s="16" t="str">
        <x:v>Argument/position task, but not repeated voting decision structure</x:v>
      </x:c>
      <x:c r="M4" s="16" t="str">
        <x:v>Continuous retrospective emotion annotations from self, partner, observers</x:v>
      </x:c>
      <x:c r="N4" s="16" t="str">
        <x:v>No</x:v>
      </x:c>
      <x:c r="O4" s="16" t="str">
        <x:v>One debate per dyad plus baseline/annotation stages</x:v>
      </x:c>
      <x:c r="P4" s="16" t="str">
        <x:v>Timestamps normalized to UTC and streams clipped/aligned to debate start/end; not LSL</x:v>
      </x:c>
      <x:c r="Q4" s="16" t="str">
        <x:v>NeuroSky MindWave EEG 125 Hz; E4 BVP 64 Hz, EDA 4 Hz, ACC 32 Hz, temp 4 Hz; Polar HR 1 Hz; smartphones + head camera</x:v>
      </x:c>
      <x:c r="R4" s="16" t="str">
        <x:v>Zenodo request/user agreement</x:v>
      </x:c>
      <x:c r="S4" s="16" t="str">
        <x:v>Physiology + audiovisual + real interpersonal interaction</x:v>
      </x:c>
      <x:c r="T4" s="16" t="str">
        <x:v>Dyadic emotion/debate corpus; no eye tracker, EMG, 5-person group, social deduction, round-wise voting/confidence</x:v>
      </x:c>
      <x:c r="U4" s="16" t="str">
        <x:v>Primary-source verified</x:v>
      </x:c>
      <x:c r="V4" s="16" t="str">
        <x:v>https://www.nature.com/articles/s41597-020-00630-y</x:v>
      </x:c>
      <x:c r="W4" s="16" t="str">
        <x:v>https://zenodo.org/records/3931963</x:v>
      </x:c>
    </x:row>
    <x:row r="5">
      <x:c r="A5" s="16" t="str">
        <x:v>GroupAffect-4</x:v>
      </x:c>
      <x:c r="B5" s="16" t="str">
        <x:v>40 participants; 10 groups of 4</x:v>
      </x:c>
      <x:c r="C5" s="16" t="str">
        <x:v>Resting baseline + hidden-profile decision + negotiation + idea generation + public-goods micro-game</x:v>
      </x:c>
      <x:c r="D5" s="16" t="str">
        <x:v>No</x:v>
      </x:c>
      <x:c r="E5" s="16" t="str">
        <x:v>PPG (not ECG)</x:v>
      </x:c>
      <x:c r="F5" s="16" t="str">
        <x:v>Yes</x:v>
      </x:c>
      <x:c r="G5" s="16" t="str">
        <x:v>No</x:v>
      </x:c>
      <x:c r="H5" s="16" t="str">
        <x:v>Yes</x:v>
      </x:c>
      <x:c r="I5" s="16" t="str">
        <x:v>Yes</x:v>
      </x:c>
      <x:c r="J5" s="16" t="str">
        <x:v>Full release includes all modalities; room-video details should be checked per release</x:v>
      </x:c>
      <x:c r="K5" s="16" t="str">
        <x:v>Yes — co-located 4-person collaboration</x:v>
      </x:c>
      <x:c r="L5" s="16" t="str">
        <x:v>Yes — hidden-profile and public-goods decision tasks</x:v>
      </x:c>
      <x:c r="M5" s="16" t="str">
        <x:v>SAM valence/arousal/dominance + questionnaires; not ARL-style decision confidence</x:v>
      </x:c>
      <x:c r="N5" s="16" t="str">
        <x:v>No</x:v>
      </x:c>
      <x:c r="O5" s="16" t="str">
        <x:v>Yes — multiple structured tasks</x:v>
      </x:c>
      <x:c r="P5" s="16" t="str">
        <x:v>All signals synchronized via Lab Streaming Layer (LSL)</x:v>
      </x:c>
      <x:c r="Q5" s="16" t="str">
        <x:v>EmotiBit PPG/EDA/temp/IMU ~25 Hz; Tobii Pro Glasses 3 ~50 Hz; DPA lapel audio 48 kHz</x:v>
      </x:c>
      <x:c r="R5" s="16" t="str">
        <x:v>Public Zenodo; BIDS-inspired structure + open scripts</x:v>
      </x:c>
      <x:c r="S5" s="16" t="str">
        <x:v>Closest group/LSL/decision architecture found in pilot</x:v>
      </x:c>
      <x:c r="T5" s="16" t="str">
        <x:v>No EEG, ECG, EMG; four-person collaboration rather than five-person social-deception/repeated vote-confidence design</x:v>
      </x:c>
      <x:c r="U5" s="16" t="str">
        <x:v>Primary-source verified</x:v>
      </x:c>
      <x:c r="V5" s="16" t="str">
        <x:v>https://arxiv.org/abs/2605.19765</x:v>
      </x:c>
      <x:c r="W5" s="16" t="str">
        <x:v>https://zenodo.org/records/20037847</x:v>
      </x:c>
    </x:row>
    <x:row r="6">
      <x:c r="A6" s="16" t="str">
        <x:v>CogniModal-D</x:v>
      </x:c>
      <x:c r="B6" s="16" t="str">
        <x:v>100+ participants; individual</x:v>
      </x:c>
      <x:c r="C6" s="16" t="str">
        <x:v>Mock-crime interrogation + best-friend truth/lie scenarios</x:v>
      </x:c>
      <x:c r="D6" s="16" t="str">
        <x:v>Yes</x:v>
      </x:c>
      <x:c r="E6" s="16" t="str">
        <x:v>Yes</x:v>
      </x:c>
      <x:c r="F6" s="16" t="str">
        <x:v>Yes</x:v>
      </x:c>
      <x:c r="G6" s="16" t="str">
        <x:v>No</x:v>
      </x:c>
      <x:c r="H6" s="16" t="str">
        <x:v>Yes</x:v>
      </x:c>
      <x:c r="I6" s="16" t="str">
        <x:v>Yes</x:v>
      </x:c>
      <x:c r="J6" s="16" t="str">
        <x:v>Yes</x:v>
      </x:c>
      <x:c r="K6" s="16" t="str">
        <x:v>No simultaneous peer/group interaction</x:v>
      </x:c>
      <x:c r="L6" s="16" t="str">
        <x:v>Deception classification task rather than group decision process</x:v>
      </x:c>
      <x:c r="M6" s="16" t="str">
        <x:v>Truth/lie task labels; no ARL-style confidence rating reported</x:v>
      </x:c>
      <x:c r="N6" s="16" t="str">
        <x:v>Yes</x:v>
      </x:c>
      <x:c r="O6" s="16" t="str">
        <x:v>Multiple deception scenarios/classes</x:v>
      </x:c>
      <x:c r="P6" s="16" t="str">
        <x:v>Modalities captured simultaneously; integrated CSV and task markers used for alignment</x:v>
      </x:c>
      <x:c r="Q6" s="16" t="str">
        <x:v>28-ch EEG; 2-ch ECG; 2-ch EOG; EEG/ECG/EOG 250 Hz; GSR 60 Hz; gaze 60 Hz; audio/video</x:v>
      </x:c>
      <x:c r="R6" s="16" t="str">
        <x:v>Study describes dataset; public raw-dataset availability needs verification</x:v>
      </x:c>
      <x:c r="S6" s="16" t="str">
        <x:v>Closest sensing/deception comparator: EEG+ECG+GSR+gaze+audio+video</x:v>
      </x:c>
      <x:c r="T6" s="16" t="str">
        <x:v>Individual deception detection; no multi-person interaction, EMG, voting, confidence, or group belief updating</x:v>
      </x:c>
      <x:c r="U6" s="16" t="str">
        <x:v>Primary-source verified; access status pending</x:v>
      </x:c>
      <x:c r="V6" s="16" t="str">
        <x:v>https://www.nature.com/articles/s41598-025-92399-6</x:v>
      </x:c>
      <x:c r="W6" s="16" t="str">
        <x:v>https://www.nature.com/articles/s41598-025-92399-6</x:v>
      </x:c>
    </x:row>
    <x:row r="9">
      <x:c r="A9" s="24" t="str">
        <x:v>Pilot interpretation — working hypothesis, not final novelty conclusion</x:v>
      </x:c>
    </x:row>
    <x:row r="10">
      <x:c r="A10" s="16" t="str">
        <x:v>The pilot identifies GroupAffect-4 as the strongest comparator for group interaction, decision tasks and LSL synchronization, while CogniModal-D is the strongest comparator for broad sensing plus deception. Based on the verified sources reviewed here, neither matches the complete planned ARL combination. This hypothesis must now be challenged against the remaining evidence base.</x:v>
      </x:c>
    </x:row>
  </x:sheetData>
  <x:mergeCells>
    <x:mergeCell ref="A9:W9"/>
    <x:mergeCell ref="A10:W10"/>
  </x:mergeCells>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34" hidden="0" customWidth="1"/>
    <x:col min="3" max="3" width="18" hidden="0" customWidth="1"/>
    <x:col min="4" max="4" width="25" hidden="0" customWidth="1"/>
    <x:col min="5" max="5" width="36"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6" hidden="0" customWidth="1"/>
    <x:col min="14" max="14" width="18" hidden="0" customWidth="1"/>
    <x:col min="15" max="15" width="25" hidden="0" customWidth="1"/>
    <x:col min="16" max="16" width="24" hidden="0" customWidth="1"/>
    <x:col min="17" max="17" width="18" hidden="0" customWidth="1"/>
    <x:col min="18" max="18" width="34" hidden="0" customWidth="1"/>
    <x:col min="19" max="19" width="19" hidden="0" customWidth="1"/>
    <x:col min="20" max="20" width="40" hidden="0" customWidth="1"/>
    <x:col min="21" max="21" width="44" hidden="0" customWidth="1"/>
    <x:col min="22" max="22" width="28" hidden="0" customWidth="1"/>
    <x:col min="23" max="23" width="45" hidden="0" customWidth="1"/>
    <x:col min="24" max="24" width="45" hidden="0" customWidth="1"/>
  </x:cols>
  <x:sheetData>
    <x:row r="1">
      <x:c r="A1" s="27" t="str">
        <x:v>Audit #</x:v>
      </x:c>
      <x:c r="B1" s="27" t="str">
        <x:v>Comparator / Study</x:v>
      </x:c>
      <x:c r="C1" s="27" t="str">
        <x:v>Evidence Type</x:v>
      </x:c>
      <x:c r="D1" s="27" t="str">
        <x:v>Participants / Interaction</x:v>
      </x:c>
      <x:c r="E1" s="27" t="str">
        <x:v>Primary Task / Paradigm</x:v>
      </x:c>
      <x:c r="F1" s="27" t="str">
        <x:v>EEG</x:v>
      </x:c>
      <x:c r="G1" s="27" t="str">
        <x:v>ECG / PPG / HR</x:v>
      </x:c>
      <x:c r="H1" s="27" t="str">
        <x:v>EDA / GSR</x:v>
      </x:c>
      <x:c r="I1" s="27" t="str">
        <x:v>EMG</x:v>
      </x:c>
      <x:c r="J1" s="27" t="str">
        <x:v>Eye Tracking</x:v>
      </x:c>
      <x:c r="K1" s="27" t="str">
        <x:v>Audio</x:v>
      </x:c>
      <x:c r="L1" s="27" t="str">
        <x:v>Video</x:v>
      </x:c>
      <x:c r="M1" s="27" t="str">
        <x:v>Interactive?</x:v>
      </x:c>
      <x:c r="N1" s="27" t="str">
        <x:v>Decision-Making?</x:v>
      </x:c>
      <x:c r="O1" s="27" t="str">
        <x:v>Confidence / Self-report</x:v>
      </x:c>
      <x:c r="P1" s="27" t="str">
        <x:v>Deception / Strategic Misinfo?</x:v>
      </x:c>
      <x:c r="Q1" s="27" t="str">
        <x:v>Repeated / Multi-round?</x:v>
      </x:c>
      <x:c r="R1" s="27" t="str">
        <x:v>Synchronization / Alignment</x:v>
      </x:c>
      <x:c r="S1" s="27" t="str">
        <x:v>Public Data?</x:v>
      </x:c>
      <x:c r="T1" s="27" t="str">
        <x:v>Closest ARL Overlap</x:v>
      </x:c>
      <x:c r="U1" s="27" t="str">
        <x:v>Critical Difference vs Proposed ARL</x:v>
      </x:c>
      <x:c r="V1" s="27" t="str">
        <x:v>Verification Status</x:v>
      </x:c>
      <x:c r="W1" s="27" t="str">
        <x:v>Primary Source URL</x:v>
      </x:c>
      <x:c r="X1" s="27" t="str">
        <x:v>Data / Access URL</x:v>
      </x:c>
    </x:row>
    <x:row r="2">
      <x:c r="A2" s="28" t="n">
        <x:v>1</x:v>
      </x:c>
      <x:c r="B2" s="28" t="str">
        <x:v>AMIGOS</x:v>
      </x:c>
      <x:c r="C2" s="28" t="str">
        <x:v>Dataset</x:v>
      </x:c>
      <x:c r="D2" s="28" t="str">
        <x:v>40; individual + 4-person group condition</x:v>
      </x:c>
      <x:c r="E2" s="28" t="str">
        <x:v>Affective video viewing; group co-viewing</x:v>
      </x:c>
      <x:c r="F2" s="28" t="str">
        <x:v>Yes</x:v>
      </x:c>
      <x:c r="G2" s="28" t="str">
        <x:v>ECG</x:v>
      </x:c>
      <x:c r="H2" s="28" t="str">
        <x:v>Yes</x:v>
      </x:c>
      <x:c r="I2" s="28" t="str">
        <x:v>No reported</x:v>
      </x:c>
      <x:c r="J2" s="28" t="str">
        <x:v>No</x:v>
      </x:c>
      <x:c r="K2" s="28" t="str">
        <x:v>Reported/verify release coverage</x:v>
      </x:c>
      <x:c r="L2" s="28" t="str">
        <x:v>Yes</x:v>
      </x:c>
      <x:c r="M2" s="28" t="str">
        <x:v>Partial social context</x:v>
      </x:c>
      <x:c r="N2" s="28" t="str">
        <x:v>No</x:v>
      </x:c>
      <x:c r="O2" s="28" t="str">
        <x:v>Affect/self-assessment</x:v>
      </x:c>
      <x:c r="P2" s="28" t="str">
        <x:v>No</x:v>
      </x:c>
      <x:c r="Q2" s="28" t="str">
        <x:v>Repeated stimuli</x:v>
      </x:c>
      <x:c r="R2" s="28" t="str">
        <x:v>Central PC synchronized acquisition/self-assessment</x:v>
      </x:c>
      <x:c r="S2" s="28" t="str">
        <x:v>Restricted academic</x:v>
      </x:c>
      <x:c r="T2" s="28" t="str">
        <x:v>Wearable EEG+ECG+GSR + group context + video</x:v>
      </x:c>
      <x:c r="U2" s="28" t="str">
        <x:v>Passive co-viewing rather than interactive multi-round decision/deception; no eye tracking/EMG</x:v>
      </x:c>
      <x:c r="V2" s="28" t="str">
        <x:v>Primary-source verified</x:v>
      </x:c>
      <x:c r="W2" s="28" t="str">
        <x:v>https://www.eecs.qmul.ac.uk/mmv/datasets/amigos/doc/Paper_TAC.pdf</x:v>
      </x:c>
      <x:c r="X2" s="28" t="str">
        <x:v>https://eecs.qmul.ac.uk/mmv/datasets/amigos/</x:v>
      </x:c>
    </x:row>
    <x:row r="3">
      <x:c r="A3" s="28" t="n">
        <x:v>2</x:v>
      </x:c>
      <x:c r="B3" s="28" t="str">
        <x:v>MAHNOB-HCI</x:v>
      </x:c>
      <x:c r="C3" s="28" t="str">
        <x:v>Dataset</x:v>
      </x:c>
      <x:c r="D3" s="28" t="str">
        <x:v>27 usable; individual</x:v>
      </x:c>
      <x:c r="E3" s="28" t="str">
        <x:v>Emotion elicitation + implicit multimedia tagging</x:v>
      </x:c>
      <x:c r="F3" s="28" t="str">
        <x:v>Yes</x:v>
      </x:c>
      <x:c r="G3" s="28" t="str">
        <x:v>ECG</x:v>
      </x:c>
      <x:c r="H3" s="28" t="str">
        <x:v>Yes</x:v>
      </x:c>
      <x:c r="I3" s="28" t="str">
        <x:v>No reported</x:v>
      </x:c>
      <x:c r="J3" s="28" t="str">
        <x:v>Yes</x:v>
      </x:c>
      <x:c r="K3" s="28" t="str">
        <x:v>Yes</x:v>
      </x:c>
      <x:c r="L3" s="28" t="str">
        <x:v>Yes</x:v>
      </x:c>
      <x:c r="M3" s="28" t="str">
        <x:v>No</x:v>
      </x:c>
      <x:c r="N3" s="28" t="str">
        <x:v>Limited tagging decision</x:v>
      </x:c>
      <x:c r="O3" s="28" t="str">
        <x:v>Arousal/valence/dominance/predictability</x:v>
      </x:c>
      <x:c r="P3" s="28" t="str">
        <x:v>No</x:v>
      </x:c>
      <x:c r="Q3" s="28" t="str">
        <x:v>Multiple trials</x:v>
      </x:c>
      <x:c r="R3" s="28" t="str">
        <x:v>Synchronized multimodal laboratory acquisition</x:v>
      </x:c>
      <x:c r="S3" s="28" t="str">
        <x:v>Academic access</x:v>
      </x:c>
      <x:c r="T3" s="28" t="str">
        <x:v>Dense EEG+ECG+GSR+eye+audio+video sensing</x:v>
      </x:c>
      <x:c r="U3" s="28" t="str">
        <x:v>Individual stimulus-response design; no interacting group/social-deception process</x:v>
      </x:c>
      <x:c r="V3" s="28" t="str">
        <x:v>Primary-source verified</x:v>
      </x:c>
      <x:c r="W3" s="28" t="str">
        <x:v>https://doi.org/10.1109/T-AFFC.2011.25</x:v>
      </x:c>
      <x:c r="X3" s="28" t="str">
        <x:v>https://mahnob-db.eu/</x:v>
      </x:c>
    </x:row>
    <x:row r="4">
      <x:c r="A4" s="28" t="n">
        <x:v>3</x:v>
      </x:c>
      <x:c r="B4" s="28" t="str">
        <x:v>K-EmoCon</x:v>
      </x:c>
      <x:c r="C4" s="28" t="str">
        <x:v>Dataset</x:v>
      </x:c>
      <x:c r="D4" s="28" t="str">
        <x:v>32; 16 dyads</x:v>
      </x:c>
      <x:c r="E4" s="28" t="str">
        <x:v>~10-min face-to-face debate</x:v>
      </x:c>
      <x:c r="F4" s="28" t="str">
        <x:v>Yes</x:v>
      </x:c>
      <x:c r="G4" s="28" t="str">
        <x:v>PPG + HR</x:v>
      </x:c>
      <x:c r="H4" s="28" t="str">
        <x:v>Yes</x:v>
      </x:c>
      <x:c r="I4" s="28" t="str">
        <x:v>No</x:v>
      </x:c>
      <x:c r="J4" s="28" t="str">
        <x:v>No</x:v>
      </x:c>
      <x:c r="K4" s="28" t="str">
        <x:v>Yes</x:v>
      </x:c>
      <x:c r="L4" s="28" t="str">
        <x:v>Yes</x:v>
      </x:c>
      <x:c r="M4" s="28" t="str">
        <x:v>Yes</x:v>
      </x:c>
      <x:c r="N4" s="28" t="str">
        <x:v>Argument/position task; not repeated voting</x:v>
      </x:c>
      <x:c r="O4" s="28" t="str">
        <x:v>Continuous retrospective emotion ratings</x:v>
      </x:c>
      <x:c r="P4" s="28" t="str">
        <x:v>No</x:v>
      </x:c>
      <x:c r="Q4" s="28" t="str">
        <x:v>No</x:v>
      </x:c>
      <x:c r="R4" s="28" t="str">
        <x:v>UTC-normalized timestamps; aligned/clipped to debate interval</x:v>
      </x:c>
      <x:c r="S4" s="28" t="str">
        <x:v>Public/research access</x:v>
      </x:c>
      <x:c r="T4" s="28" t="str">
        <x:v>Physiology + audiovisual + genuine interpersonal interaction</x:v>
      </x:c>
      <x:c r="U4" s="28" t="str">
        <x:v>Dyads; emotion/debate focus; no eye tracking/EMG/group social deduction/round-wise confidence</x:v>
      </x:c>
      <x:c r="V4" s="28" t="str">
        <x:v>Primary-source verified</x:v>
      </x:c>
      <x:c r="W4" s="28" t="str">
        <x:v>https://www.nature.com/articles/s41597-020-00630-y</x:v>
      </x:c>
      <x:c r="X4" s="28" t="str">
        <x:v>https://zenodo.org/records/3931963</x:v>
      </x:c>
    </x:row>
    <x:row r="5">
      <x:c r="A5" s="28" t="n">
        <x:v>4</x:v>
      </x:c>
      <x:c r="B5" s="28" t="str">
        <x:v>GroupAffect-4</x:v>
      </x:c>
      <x:c r="C5" s="28" t="str">
        <x:v>Dataset</x:v>
      </x:c>
      <x:c r="D5" s="28" t="str">
        <x:v>40; 10 groups of 4</x:v>
      </x:c>
      <x:c r="E5" s="28" t="str">
        <x:v>Hidden-profile decision + negotiation + idea generation + public-goods micro-game</x:v>
      </x:c>
      <x:c r="F5" s="28" t="str">
        <x:v>No</x:v>
      </x:c>
      <x:c r="G5" s="28" t="str">
        <x:v>PPG</x:v>
      </x:c>
      <x:c r="H5" s="28" t="str">
        <x:v>Yes</x:v>
      </x:c>
      <x:c r="I5" s="28" t="str">
        <x:v>No</x:v>
      </x:c>
      <x:c r="J5" s="28" t="str">
        <x:v>Yes</x:v>
      </x:c>
      <x:c r="K5" s="28" t="str">
        <x:v>Yes</x:v>
      </x:c>
      <x:c r="L5" s="28" t="str">
        <x:v>Yes</x:v>
      </x:c>
      <x:c r="M5" s="28" t="str">
        <x:v>Yes</x:v>
      </x:c>
      <x:c r="N5" s="28" t="str">
        <x:v>Yes</x:v>
      </x:c>
      <x:c r="O5" s="28" t="str">
        <x:v>SAM + questionnaires</x:v>
      </x:c>
      <x:c r="P5" s="28" t="str">
        <x:v>No</x:v>
      </x:c>
      <x:c r="Q5" s="28" t="str">
        <x:v>Yes</x:v>
      </x:c>
      <x:c r="R5" s="28" t="str">
        <x:v>Lab Streaming Layer (LSL)</x:v>
      </x:c>
      <x:c r="S5" s="28" t="str">
        <x:v>Public</x:v>
      </x:c>
      <x:c r="T5" s="28" t="str">
        <x:v>Strongest group + structured decision + eye/audio + LSL comparator</x:v>
      </x:c>
      <x:c r="U5" s="28" t="str">
        <x:v>No EEG/ECG/EMG; 4-person collaboration, not repeated social-deception vote-confidence paradigm</x:v>
      </x:c>
      <x:c r="V5" s="28" t="str">
        <x:v>Primary-source verified</x:v>
      </x:c>
      <x:c r="W5" s="28" t="str">
        <x:v>https://arxiv.org/abs/2605.19765</x:v>
      </x:c>
      <x:c r="X5" s="28" t="str">
        <x:v>https://zenodo.org/records/20037847</x:v>
      </x:c>
    </x:row>
    <x:row r="6">
      <x:c r="A6" s="28" t="n">
        <x:v>5</x:v>
      </x:c>
      <x:c r="B6" s="28" t="str">
        <x:v>CogniModal-D</x:v>
      </x:c>
      <x:c r="C6" s="28" t="str">
        <x:v>Dataset / study</x:v>
      </x:c>
      <x:c r="D6" s="28" t="str">
        <x:v>100+; individual</x:v>
      </x:c>
      <x:c r="E6" s="28" t="str">
        <x:v>Mock-crime and social-relationship truth/lie scenarios</x:v>
      </x:c>
      <x:c r="F6" s="28" t="str">
        <x:v>Yes</x:v>
      </x:c>
      <x:c r="G6" s="28" t="str">
        <x:v>ECG</x:v>
      </x:c>
      <x:c r="H6" s="28" t="str">
        <x:v>Yes</x:v>
      </x:c>
      <x:c r="I6" s="28" t="str">
        <x:v>No</x:v>
      </x:c>
      <x:c r="J6" s="28" t="str">
        <x:v>Yes</x:v>
      </x:c>
      <x:c r="K6" s="28" t="str">
        <x:v>Yes</x:v>
      </x:c>
      <x:c r="L6" s="28" t="str">
        <x:v>Yes</x:v>
      </x:c>
      <x:c r="M6" s="28" t="str">
        <x:v>No</x:v>
      </x:c>
      <x:c r="N6" s="28" t="str">
        <x:v>Deception classification task</x:v>
      </x:c>
      <x:c r="O6" s="28" t="str">
        <x:v>Task labels; no ARL-style decision confidence reported</x:v>
      </x:c>
      <x:c r="P6" s="28" t="str">
        <x:v>Yes</x:v>
      </x:c>
      <x:c r="Q6" s="28" t="str">
        <x:v>Multiple scenarios</x:v>
      </x:c>
      <x:c r="R6" s="28" t="str">
        <x:v>Simultaneous streams; task markers/common alignment</x:v>
      </x:c>
      <x:c r="S6" s="28" t="str">
        <x:v>Access status needs final verification</x:v>
      </x:c>
      <x:c r="T6" s="28" t="str">
        <x:v>Strongest broad sensing + deception comparator</x:v>
      </x:c>
      <x:c r="U6" s="28" t="str">
        <x:v>Individual deception detection; no multi-person discussion/voting/belief updating; no EMG</x:v>
      </x:c>
      <x:c r="V6" s="28" t="str">
        <x:v>Primary-source verified; access pending</x:v>
      </x:c>
      <x:c r="W6" s="28" t="str">
        <x:v>https://www.nature.com/articles/s41598-025-92399-6</x:v>
      </x:c>
      <x:c r="X6" s="28" t="str">
        <x:v>https://www.nature.com/articles/s41598-025-92399-6</x:v>
      </x:c>
    </x:row>
    <x:row r="7">
      <x:c r="A7" s="28" t="n">
        <x:v>6</x:v>
      </x:c>
      <x:c r="B7" s="28" t="str">
        <x:v>DEAP</x:v>
      </x:c>
      <x:c r="C7" s="28" t="str">
        <x:v>Dataset</x:v>
      </x:c>
      <x:c r="D7" s="28" t="str">
        <x:v>32; individual</x:v>
      </x:c>
      <x:c r="E7" s="28" t="str">
        <x:v>40 one-minute music-video trials</x:v>
      </x:c>
      <x:c r="F7" s="28" t="str">
        <x:v>32-ch EEG</x:v>
      </x:c>
      <x:c r="G7" s="28" t="str">
        <x:v>Plethysmograph</x:v>
      </x:c>
      <x:c r="H7" s="28" t="str">
        <x:v>GSR</x:v>
      </x:c>
      <x:c r="I7" s="28" t="str">
        <x:v>4 EMG channels</x:v>
      </x:c>
      <x:c r="J7" s="28" t="str">
        <x:v>No</x:v>
      </x:c>
      <x:c r="K7" s="28" t="str">
        <x:v>No</x:v>
      </x:c>
      <x:c r="L7" s="28" t="str">
        <x:v>Face video for 22</x:v>
      </x:c>
      <x:c r="M7" s="28" t="str">
        <x:v>No</x:v>
      </x:c>
      <x:c r="N7" s="28" t="str">
        <x:v>Affective rating only</x:v>
      </x:c>
      <x:c r="O7" s="28" t="str">
        <x:v>Arousal/valence/dominance/liking/familiarity</x:v>
      </x:c>
      <x:c r="P7" s="28" t="str">
        <x:v>No</x:v>
      </x:c>
      <x:c r="Q7" s="28" t="str">
        <x:v>Yes</x:v>
      </x:c>
      <x:c r="R7" s="28" t="str">
        <x:v>Synchronized physiological acquisition; original 512 Hz, preprocessed 128 Hz</x:v>
      </x:c>
      <x:c r="S7" s="28" t="str">
        <x:v>Registration</x:v>
      </x:c>
      <x:c r="T7" s="28" t="str">
        <x:v>EEG + GSR + EMG + face video, rich synchronized physiology</x:v>
      </x:c>
      <x:c r="U7" s="28" t="str">
        <x:v>No interaction, eye tracking, audio, social decision-making or deception</x:v>
      </x:c>
      <x:c r="V7" s="28" t="str">
        <x:v>Primary-source verified</x:v>
      </x:c>
      <x:c r="W7" s="28" t="str">
        <x:v>https://eecs.qmul.ac.uk/mmv/datasets/deap/doc/tac_special_issue_2011.pdf</x:v>
      </x:c>
      <x:c r="X7" s="28" t="str">
        <x:v>https://eecs.qmul.ac.uk/mmv/datasets/deap/</x:v>
      </x:c>
    </x:row>
    <x:row r="8">
      <x:c r="A8" s="28" t="n">
        <x:v>7</x:v>
      </x:c>
      <x:c r="B8" s="28" t="str">
        <x:v>RECOLA</x:v>
      </x:c>
      <x:c r="C8" s="28" t="str">
        <x:v>Dataset</x:v>
      </x:c>
      <x:c r="D8" s="28" t="str">
        <x:v>46; 23 remote dyads</x:v>
      </x:c>
      <x:c r="E8" s="28" t="str">
        <x:v>Collaborative survival-ranking task via video conference</x:v>
      </x:c>
      <x:c r="F8" s="28" t="str">
        <x:v>No</x:v>
      </x:c>
      <x:c r="G8" s="28" t="str">
        <x:v>ECG</x:v>
      </x:c>
      <x:c r="H8" s="28" t="str">
        <x:v>EDA</x:v>
      </x:c>
      <x:c r="I8" s="28" t="str">
        <x:v>No</x:v>
      </x:c>
      <x:c r="J8" s="28" t="str">
        <x:v>No</x:v>
      </x:c>
      <x:c r="K8" s="28" t="str">
        <x:v>Yes</x:v>
      </x:c>
      <x:c r="L8" s="28" t="str">
        <x:v>Yes</x:v>
      </x:c>
      <x:c r="M8" s="28" t="str">
        <x:v>Yes</x:v>
      </x:c>
      <x:c r="N8" s="28" t="str">
        <x:v>Consensus decision after individual ranking</x:v>
      </x:c>
      <x:c r="O8" s="28" t="str">
        <x:v>Self-report + continuous affect/social annotations</x:v>
      </x:c>
      <x:c r="P8" s="28" t="str">
        <x:v>No</x:v>
      </x:c>
      <x:c r="Q8" s="28" t="str">
        <x:v>Single collaborative episode</x:v>
      </x:c>
      <x:c r="R8" s="28" t="str">
        <x:v>Audio, video, ECG and EDA recorded continuously and synchronously</x:v>
      </x:c>
      <x:c r="S8" s="28" t="str">
        <x:v>Academic/public partitions</x:v>
      </x:c>
      <x:c r="T8" s="28" t="str">
        <x:v>Dyadic collaboration + consensus + synchronized physiology/audio/video</x:v>
      </x:c>
      <x:c r="U8" s="28" t="str">
        <x:v>No EEG/EMG/eye tracking; dyadic remote task; no deception/repeated voting</x:v>
      </x:c>
      <x:c r="V8" s="28" t="str">
        <x:v>Primary-source verified</x:v>
      </x:c>
      <x:c r="W8" s="28" t="str">
        <x:v>https://recola.human-ist.ch/data/emoSPACE13_RECOLA_Database.pdf</x:v>
      </x:c>
      <x:c r="X8" s="28" t="str">
        <x:v>https://recola.human-ist.ch/</x:v>
      </x:c>
    </x:row>
    <x:row r="9">
      <x:c r="A9" s="28" t="n">
        <x:v>8</x:v>
      </x:c>
      <x:c r="B9" s="28" t="str">
        <x:v>CoSuBio</x:v>
      </x:c>
      <x:c r="C9" s="28" t="str">
        <x:v>Dataset</x:v>
      </x:c>
      <x:c r="D9" s="28" t="str">
        <x:v>34; individual</x:v>
      </x:c>
      <x:c r="E9" s="28" t="str">
        <x:v>Confidence manipulation + decision questions, cognitive games and puzzles</x:v>
      </x:c>
      <x:c r="F9" s="28" t="str">
        <x:v>Single-channel EEG</x:v>
      </x:c>
      <x:c r="G9" s="28" t="str">
        <x:v>BVP</x:v>
      </x:c>
      <x:c r="H9" s="28" t="str">
        <x:v>EDA</x:v>
      </x:c>
      <x:c r="I9" s="28" t="str">
        <x:v>No</x:v>
      </x:c>
      <x:c r="J9" s="28" t="str">
        <x:v>No</x:v>
      </x:c>
      <x:c r="K9" s="28" t="str">
        <x:v>No</x:v>
      </x:c>
      <x:c r="L9" s="28" t="str">
        <x:v>Limited facial video (2 participants)</x:v>
      </x:c>
      <x:c r="M9" s="28" t="str">
        <x:v>No</x:v>
      </x:c>
      <x:c r="N9" s="28" t="str">
        <x:v>Yes</x:v>
      </x:c>
      <x:c r="O9" s="28" t="str">
        <x:v>Explicit self-confidence ratings</x:v>
      </x:c>
      <x:c r="P9" s="28" t="str">
        <x:v>No</x:v>
      </x:c>
      <x:c r="Q9" s="28" t="str">
        <x:v>Three within-subject confidence phases</x:v>
      </x:c>
      <x:c r="R9" s="28" t="str">
        <x:v>Shared timestamps, subject IDs and phase labels</x:v>
      </x:c>
      <x:c r="S9" s="28" t="str">
        <x:v>Public (Mendeley Data)</x:v>
      </x:c>
      <x:c r="T9" s="28" t="str">
        <x:v>Best confidence-specific physiology comparator</x:v>
      </x:c>
      <x:c r="U9" s="28" t="str">
        <x:v>No social interaction/group decision/deception; no ECG/EMG/eye/audio; EEG is low-rate single-channel</x:v>
      </x:c>
      <x:c r="V9" s="28" t="str">
        <x:v>Primary-source verified</x:v>
      </x:c>
      <x:c r="W9" s="28" t="str">
        <x:v>https://pmc.ncbi.nlm.nih.gov/articles/PMC12955566/</x:v>
      </x:c>
      <x:c r="X9" s="28" t="str">
        <x:v>https://doi.org/10.17632/skckwr7hy6.6</x:v>
      </x:c>
    </x:row>
    <x:row r="10">
      <x:c r="A10" s="28" t="n">
        <x:v>9</x:v>
      </x:c>
      <x:c r="B10" s="28" t="str">
        <x:v>BALLADEER ADHD / A Multimodal Dataset for Neurophysiological and AI Applications</x:v>
      </x:c>
      <x:c r="C10" s="28" t="str">
        <x:v>Dataset</x:v>
      </x:c>
      <x:c r="D10" s="28" t="str">
        <x:v>Children/adolescents; individual</x:v>
      </x:c>
      <x:c r="E10" s="28" t="str">
        <x:v>Attention Slackline, Attention Robots, CogniFit and cognitive tasks</x:v>
      </x:c>
      <x:c r="F10" s="28" t="str">
        <x:v>Yes</x:v>
      </x:c>
      <x:c r="G10" s="28" t="str">
        <x:v>HR/BVP</x:v>
      </x:c>
      <x:c r="H10" s="28" t="str">
        <x:v>EDA</x:v>
      </x:c>
      <x:c r="I10" s="28" t="str">
        <x:v>No</x:v>
      </x:c>
      <x:c r="J10" s="28" t="str">
        <x:v>Yes</x:v>
      </x:c>
      <x:c r="K10" s="28" t="str">
        <x:v>No</x:v>
      </x:c>
      <x:c r="L10" s="28" t="str">
        <x:v>No</x:v>
      </x:c>
      <x:c r="M10" s="28" t="str">
        <x:v>No</x:v>
      </x:c>
      <x:c r="N10" s="28" t="str">
        <x:v>Interactive cognitive/game choices</x:v>
      </x:c>
      <x:c r="O10" s="28" t="str">
        <x:v>Performance/diagnostic metadata</x:v>
      </x:c>
      <x:c r="P10" s="28" t="str">
        <x:v>No</x:v>
      </x:c>
      <x:c r="Q10" s="28" t="str">
        <x:v>Multiple tasks/events</x:v>
      </x:c>
      <x:c r="R10" s="28" t="str">
        <x:v>Concurrent API start/stop, shared session time base and timestamped game events</x:v>
      </x:c>
      <x:c r="S10" s="28" t="str">
        <x:v>Public (Figshare)</x:v>
      </x:c>
      <x:c r="T10" s="28" t="str">
        <x:v>EEG + eye + EDA/HR + interactive task/event logging + custom acquisition backend</x:v>
      </x:c>
      <x:c r="U10" s="28" t="str">
        <x:v>Individual attention/ADHD tasks; no multi-person interaction, deception, audio/video or EMG</x:v>
      </x:c>
      <x:c r="V10" s="28" t="str">
        <x:v>Primary-source verified</x:v>
      </x:c>
      <x:c r="W10" s="28" t="str">
        <x:v>https://www.nature.com/articles/s41597-026-06758-7</x:v>
      </x:c>
      <x:c r="X10" s="28" t="str">
        <x:v>https://doi.org/10.6084/m9.figshare.28676042</x:v>
      </x:c>
    </x:row>
    <x:row r="11">
      <x:c r="A11" s="28" t="n">
        <x:v>10</x:v>
      </x:c>
      <x:c r="B11" s="28" t="str">
        <x:v>Puzzle-STAMPS</x:v>
      </x:c>
      <x:c r="C11" s="28" t="str">
        <x:v>Dataset</x:v>
      </x:c>
      <x:c r="D11" s="28" t="str">
        <x:v>143 released; mostly teams of 4</x:v>
      </x:c>
      <x:c r="E11" s="28" t="str">
        <x:v>Time-constrained cooperative puzzle-box task across 8 timed segments</x:v>
      </x:c>
      <x:c r="F11" s="28" t="str">
        <x:v>No</x:v>
      </x:c>
      <x:c r="G11" s="28" t="str">
        <x:v>ECG + respiration + SpO2 + temperature</x:v>
      </x:c>
      <x:c r="H11" s="28" t="str">
        <x:v>No reported</x:v>
      </x:c>
      <x:c r="I11" s="28" t="str">
        <x:v>No</x:v>
      </x:c>
      <x:c r="J11" s="28" t="str">
        <x:v>No</x:v>
      </x:c>
      <x:c r="K11" s="28" t="str">
        <x:v>Individual speech</x:v>
      </x:c>
      <x:c r="L11" s="28" t="str">
        <x:v>Five room cameras</x:v>
      </x:c>
      <x:c r="M11" s="28" t="str">
        <x:v>Yes</x:v>
      </x:c>
      <x:c r="N11" s="28" t="str">
        <x:v>Collaborative problem solving/team decisions</x:v>
      </x:c>
      <x:c r="O11" s="28" t="str">
        <x:v>Workload, cohesion, leadership and psychometrics</x:v>
      </x:c>
      <x:c r="P11" s="28" t="str">
        <x:v>No</x:v>
      </x:c>
      <x:c r="Q11" s="28" t="str">
        <x:v>Yes</x:v>
      </x:c>
      <x:c r="R11" s="28" t="str">
        <x:v>All released streams aligned to common puzzle-onset time=0</x:v>
      </x:c>
      <x:c r="S11" s="28" t="str">
        <x:v>Research license/public release</x:v>
      </x:c>
      <x:c r="T11" s="28" t="str">
        <x:v>Very strong multi-person physiology + speech + video + event/game-state comparator</x:v>
      </x:c>
      <x:c r="U11" s="28" t="str">
        <x:v>No EEG/GSR/EMG/eye tracking; cooperation/leadership rather than social deception and round-wise vote-confidence</x:v>
      </x:c>
      <x:c r="V11" s="28" t="str">
        <x:v>Primary-source verified</x:v>
      </x:c>
      <x:c r="W11" s="28" t="str">
        <x:v>https://puzzle-stamps.is.tue.mpg.de/index.html</x:v>
      </x:c>
      <x:c r="X11" s="28" t="str">
        <x:v>https://puzzle-stamps.is.tue.mpg.de/dataset-data.html</x:v>
      </x:c>
    </x:row>
    <x:row r="12">
      <x:c r="A12" s="28" t="n">
        <x:v>11</x:v>
      </x:c>
      <x:c r="B12" s="28" t="str">
        <x:v>Deception_data (OpenNeuro/NEMAR ds004511)</x:v>
      </x:c>
      <x:c r="C12" s="28" t="str">
        <x:v>Dataset</x:v>
      </x:c>
      <x:c r="D12" s="28" t="str">
        <x:v>45; individual task sessions</x:v>
      </x:c>
      <x:c r="E12" s="28" t="str">
        <x:v>Deception, gambling/cooperation and cognitive-control tasks</x:v>
      </x:c>
      <x:c r="F12" s="28" t="str">
        <x:v>Yes</x:v>
      </x:c>
      <x:c r="G12" s="28" t="str">
        <x:v>Keywords/aux physiology reported</x:v>
      </x:c>
      <x:c r="H12" s="28" t="str">
        <x:v>GSR keyword/auxiliary</x:v>
      </x:c>
      <x:c r="I12" s="28" t="str">
        <x:v>EMG keyword/auxiliary</x:v>
      </x:c>
      <x:c r="J12" s="28" t="str">
        <x:v>No</x:v>
      </x:c>
      <x:c r="K12" s="28" t="str">
        <x:v>No</x:v>
      </x:c>
      <x:c r="L12" s="28" t="str">
        <x:v>No</x:v>
      </x:c>
      <x:c r="M12" s="28" t="str">
        <x:v>No</x:v>
      </x:c>
      <x:c r="N12" s="28" t="str">
        <x:v>Yes</x:v>
      </x:c>
      <x:c r="O12" s="28" t="str">
        <x:v>Behavioral outcomes</x:v>
      </x:c>
      <x:c r="P12" s="28" t="str">
        <x:v>Yes</x:v>
      </x:c>
      <x:c r="Q12" s="28" t="str">
        <x:v>Multiple tasks/sessions</x:v>
      </x:c>
      <x:c r="R12" s="28" t="str">
        <x:v>BIDS-organized EEG/behavioral recordings; event structure</x:v>
      </x:c>
      <x:c r="S12" s="28" t="str">
        <x:v>Public CC0</x:v>
      </x:c>
      <x:c r="T12" s="28" t="str">
        <x:v>Deception + decision-making + EEG; peripheral physiology metadata</x:v>
      </x:c>
      <x:c r="U12" s="28" t="str">
        <x:v>No simultaneous group interaction/audio/video/eye tracking; physiology release needs channel-level confirmation</x:v>
      </x:c>
      <x:c r="V12" s="28" t="str">
        <x:v>Repository verified; physiology details need channel audit</x:v>
      </x:c>
      <x:c r="W12" s="28" t="str">
        <x:v>https://doi.org/10.82901/nemar.on004511</x:v>
      </x:c>
      <x:c r="X12" s="28" t="str">
        <x:v>https://doi.org/10.18112/openneuro.ds004511.v1.0.2</x:v>
      </x:c>
    </x:row>
    <x:row r="13">
      <x:c r="A13" s="28" t="n">
        <x:v>12</x:v>
      </x:c>
      <x:c r="B13" s="28" t="str">
        <x:v>Werewolf Among Us</x:v>
      </x:c>
      <x:c r="C13" s="28" t="str">
        <x:v>Dataset / paper</x:v>
      </x:c>
      <x:c r="D13" s="28" t="str">
        <x:v>Multi-player naturalistic game videos; 199 dialogues</x:v>
      </x:c>
      <x:c r="E13" s="28" t="str">
        <x:v>One Night Ultimate Werewolf + The Resistance: Avalon</x:v>
      </x:c>
      <x:c r="F13" s="28" t="str">
        <x:v>No</x:v>
      </x:c>
      <x:c r="G13" s="28" t="str">
        <x:v>No</x:v>
      </x:c>
      <x:c r="H13" s="28" t="str">
        <x:v>No</x:v>
      </x:c>
      <x:c r="I13" s="28" t="str">
        <x:v>No</x:v>
      </x:c>
      <x:c r="J13" s="28" t="str">
        <x:v>No</x:v>
      </x:c>
      <x:c r="K13" s="28" t="str">
        <x:v>Dialogue transcripts</x:v>
      </x:c>
      <x:c r="L13" s="28" t="str">
        <x:v>Yes</x:v>
      </x:c>
      <x:c r="M13" s="28" t="str">
        <x:v>Yes</x:v>
      </x:c>
      <x:c r="N13" s="28" t="str">
        <x:v>Yes; voting outcomes captured</x:v>
      </x:c>
      <x:c r="O13" s="28" t="str">
        <x:v>Persuasion-strategy annotations</x:v>
      </x:c>
      <x:c r="P13" s="28" t="str">
        <x:v>Yes / social deduction</x:v>
      </x:c>
      <x:c r="Q13" s="28" t="str">
        <x:v>Yes at game/utterance level</x:v>
      </x:c>
      <x:c r="R13" s="28" t="str">
        <x:v>Video/dialogue aligned at utterance/game level; not physiological synchronization</x:v>
      </x:c>
      <x:c r="S13" s="28" t="str">
        <x:v>Public/research</x:v>
      </x:c>
      <x:c r="T13" s="28" t="str">
        <x:v>Closest social-deduction + multimodal behavioral + voting comparator</x:v>
      </x:c>
      <x:c r="U13" s="28" t="str">
        <x:v>No physiological/neural sensing; source videos rather than controlled synchronized biosignal acquisition</x:v>
      </x:c>
      <x:c r="V13" s="28" t="str">
        <x:v>Primary-source verified</x:v>
      </x:c>
      <x:c r="W13" s="28" t="str">
        <x:v>https://aclanthology.org/2023.findings-acl.411/</x:v>
      </x:c>
      <x:c r="X13" s="28" t="str">
        <x:v>https://github.com/SALT-NLP/PersuationGames</x:v>
      </x:c>
    </x:row>
    <x:row r="14">
      <x:c r="A14" s="28" t="n">
        <x:v>13</x:v>
      </x:c>
      <x:c r="B14" s="28" t="str">
        <x:v>Stasser &amp; Titus hidden-profile paradigm</x:v>
      </x:c>
      <x:c r="C14" s="28" t="str">
        <x:v>Foundational experiment</x:v>
      </x:c>
      <x:c r="D14" s="28" t="str">
        <x:v>4-member groups; 156 participants across conditions</x:v>
      </x:c>
      <x:c r="E14" s="28" t="str">
        <x:v>Political-caucus candidate selection with shared/unshared information</x:v>
      </x:c>
      <x:c r="F14" s="28" t="str">
        <x:v>No</x:v>
      </x:c>
      <x:c r="G14" s="28" t="str">
        <x:v>No</x:v>
      </x:c>
      <x:c r="H14" s="28" t="str">
        <x:v>No</x:v>
      </x:c>
      <x:c r="I14" s="28" t="str">
        <x:v>No</x:v>
      </x:c>
      <x:c r="J14" s="28" t="str">
        <x:v>No</x:v>
      </x:c>
      <x:c r="K14" s="28" t="str">
        <x:v>Discussion behavior</x:v>
      </x:c>
      <x:c r="L14" s="28" t="str">
        <x:v>No</x:v>
      </x:c>
      <x:c r="M14" s="28" t="str">
        <x:v>Yes</x:v>
      </x:c>
      <x:c r="N14" s="28" t="str">
        <x:v>Yes; group selection</x:v>
      </x:c>
      <x:c r="O14" s="28" t="str">
        <x:v>Pre/post discussion preferences/recall</x:v>
      </x:c>
      <x:c r="P14" s="28" t="str">
        <x:v>No</x:v>
      </x:c>
      <x:c r="Q14" s="28" t="str">
        <x:v>Single decision per experimental group</x:v>
      </x:c>
      <x:c r="R14" s="28" t="str">
        <x:v>Behavioral experimental timing; no multimodal sync</x:v>
      </x:c>
      <x:c r="S14" s="28" t="str">
        <x:v>No public dataset known</x:v>
      </x:c>
      <x:c r="T14" s="28" t="str">
        <x:v>Foundational model for information pooling and hidden-profile group decisions</x:v>
      </x:c>
      <x:c r="U14" s="28" t="str">
        <x:v>No physiological sensing, repeated rounds, deception role or confidence ratings</x:v>
      </x:c>
      <x:c r="V14" s="28" t="str">
        <x:v>Primary-source verified</x:v>
      </x:c>
      <x:c r="W14" s="28" t="str">
        <x:v>https://doi.org/10.1037/0022-3514.48.6.1467</x:v>
      </x:c>
      <x:c r="X14" s="28" t="str"/>
    </x:row>
    <x:row r="15">
      <x:c r="A15" s="28" t="n">
        <x:v>14</x:v>
      </x:c>
      <x:c r="B15" s="28" t="str">
        <x:v>Optimally Interacting Minds</x:v>
      </x:c>
      <x:c r="C15" s="28" t="str">
        <x:v>Foundational experiment</x:v>
      </x:c>
      <x:c r="D15" s="28" t="str">
        <x:v>Dyads</x:v>
      </x:c>
      <x:c r="E15" s="28" t="str">
        <x:v>Joint perceptual decision-making with confidence communication</x:v>
      </x:c>
      <x:c r="F15" s="28" t="str">
        <x:v>No</x:v>
      </x:c>
      <x:c r="G15" s="28" t="str">
        <x:v>No</x:v>
      </x:c>
      <x:c r="H15" s="28" t="str">
        <x:v>No</x:v>
      </x:c>
      <x:c r="I15" s="28" t="str">
        <x:v>No</x:v>
      </x:c>
      <x:c r="J15" s="28" t="str">
        <x:v>No</x:v>
      </x:c>
      <x:c r="K15" s="28" t="str">
        <x:v>Verbal confidence communication</x:v>
      </x:c>
      <x:c r="L15" s="28" t="str">
        <x:v>No</x:v>
      </x:c>
      <x:c r="M15" s="28" t="str">
        <x:v>Yes</x:v>
      </x:c>
      <x:c r="N15" s="28" t="str">
        <x:v>Yes</x:v>
      </x:c>
      <x:c r="O15" s="28" t="str">
        <x:v>Confidence is central to collective decision rule</x:v>
      </x:c>
      <x:c r="P15" s="28" t="str">
        <x:v>No</x:v>
      </x:c>
      <x:c r="Q15" s="28" t="str">
        <x:v>Repeated perceptual trials</x:v>
      </x:c>
      <x:c r="R15" s="28" t="str">
        <x:v>Behavioral trial synchronization</x:v>
      </x:c>
      <x:c r="S15" s="28" t="str">
        <x:v>No public dataset known</x:v>
      </x:c>
      <x:c r="T15" s="28" t="str">
        <x:v>Core evidence that confidence sharing shapes collective decisions</x:v>
      </x:c>
      <x:c r="U15" s="28" t="str">
        <x:v>No physiology or multi-person group; perceptual dyads rather than social deduction</x:v>
      </x:c>
      <x:c r="V15" s="28" t="str">
        <x:v>Primary-source verified</x:v>
      </x:c>
      <x:c r="W15" s="28" t="str">
        <x:v>https://pmc.ncbi.nlm.nih.gov/articles/PMC3371582/</x:v>
      </x:c>
      <x:c r="X15" s="28" t="str"/>
    </x:row>
    <x:row r="16">
      <x:c r="A16" s="28" t="n">
        <x:v>15</x:v>
      </x:c>
      <x:c r="B16" s="28" t="str">
        <x:v>King-Casas et al. multiround Trust Game</x:v>
      </x:c>
      <x:c r="C16" s="28" t="str">
        <x:v>Experimental study</x:v>
      </x:c>
      <x:c r="D16" s="28" t="str">
        <x:v>Dyadic economic exchange</x:v>
      </x:c>
      <x:c r="E16" s="28" t="str">
        <x:v>Multiround trust/reciprocity game</x:v>
      </x:c>
      <x:c r="F16" s="28" t="str">
        <x:v>No</x:v>
      </x:c>
      <x:c r="G16" s="28" t="str">
        <x:v>No</x:v>
      </x:c>
      <x:c r="H16" s="28" t="str">
        <x:v>No</x:v>
      </x:c>
      <x:c r="I16" s="28" t="str">
        <x:v>No</x:v>
      </x:c>
      <x:c r="J16" s="28" t="str">
        <x:v>No</x:v>
      </x:c>
      <x:c r="K16" s="28" t="str">
        <x:v>No</x:v>
      </x:c>
      <x:c r="L16" s="28" t="str">
        <x:v>No</x:v>
      </x:c>
      <x:c r="M16" s="28" t="str">
        <x:v>Yes</x:v>
      </x:c>
      <x:c r="N16" s="28" t="str">
        <x:v>Yes</x:v>
      </x:c>
      <x:c r="O16" s="28" t="str">
        <x:v>Behavioral trust/reciprocity; no explicit confidence</x:v>
      </x:c>
      <x:c r="P16" s="28" t="str">
        <x:v>Strategic trust, not deception label</x:v>
      </x:c>
      <x:c r="Q16" s="28" t="str">
        <x:v>Yes</x:v>
      </x:c>
      <x:c r="R16" s="28" t="str">
        <x:v>Round-based behavioral/fMRI timing</x:v>
      </x:c>
      <x:c r="S16" s="28" t="str">
        <x:v>No public dataset established</x:v>
      </x:c>
      <x:c r="T16" s="28" t="str">
        <x:v>Repeated interpersonal decisions with belief/reputation updating</x:v>
      </x:c>
      <x:c r="U16" s="28" t="str">
        <x:v>fMRI rather than wearable multimodal physiology; dyad, no audio/video discussion</x:v>
      </x:c>
      <x:c r="V16" s="28" t="str">
        <x:v>Primary-source verified</x:v>
      </x:c>
      <x:c r="W16" s="28" t="str">
        <x:v>https://pubmed.ncbi.nlm.nih.gov/15802598/</x:v>
      </x:c>
      <x:c r="X16" s="28" t="str"/>
    </x:row>
    <x:row r="17">
      <x:c r="A17" s="28" t="n">
        <x:v>16</x:v>
      </x:c>
      <x:c r="B17" s="28" t="str">
        <x:v>Sanfey et al. Ultimatum Game</x:v>
      </x:c>
      <x:c r="C17" s="28" t="str">
        <x:v>Experimental study</x:v>
      </x:c>
      <x:c r="D17" s="28" t="str">
        <x:v>Responder interacting with proposer offers</x:v>
      </x:c>
      <x:c r="E17" s="28" t="str">
        <x:v>Accept/reject fair and unfair monetary offers</x:v>
      </x:c>
      <x:c r="F17" s="28" t="str">
        <x:v>No</x:v>
      </x:c>
      <x:c r="G17" s="28" t="str">
        <x:v>No</x:v>
      </x:c>
      <x:c r="H17" s="28" t="str">
        <x:v>No</x:v>
      </x:c>
      <x:c r="I17" s="28" t="str">
        <x:v>No</x:v>
      </x:c>
      <x:c r="J17" s="28" t="str">
        <x:v>No</x:v>
      </x:c>
      <x:c r="K17" s="28" t="str">
        <x:v>No</x:v>
      </x:c>
      <x:c r="L17" s="28" t="str">
        <x:v>No</x:v>
      </x:c>
      <x:c r="M17" s="28" t="str">
        <x:v>Social but not live conversational interaction</x:v>
      </x:c>
      <x:c r="N17" s="28" t="str">
        <x:v>Yes</x:v>
      </x:c>
      <x:c r="O17" s="28" t="str">
        <x:v>No explicit confidence</x:v>
      </x:c>
      <x:c r="P17" s="28" t="str">
        <x:v>No</x:v>
      </x:c>
      <x:c r="Q17" s="28" t="str">
        <x:v>Repeated offers/trials</x:v>
      </x:c>
      <x:c r="R17" s="28" t="str">
        <x:v>Event-related fMRI task timing</x:v>
      </x:c>
      <x:c r="S17" s="28" t="str">
        <x:v>No public dataset established</x:v>
      </x:c>
      <x:c r="T17" s="28" t="str">
        <x:v>Canonical social conflict/fairness decision paradigm</x:v>
      </x:c>
      <x:c r="U17" s="28" t="str">
        <x:v>No physiological multimodality, group conversation, deception or confidence</x:v>
      </x:c>
      <x:c r="V17" s="28" t="str">
        <x:v>Primary-source verified</x:v>
      </x:c>
      <x:c r="W17" s="28" t="str">
        <x:v>https://pubmed.ncbi.nlm.nih.gov/12805551/</x:v>
      </x:c>
      <x:c r="X17" s="28" t="str"/>
    </x:row>
    <x:row r="18">
      <x:c r="A18" s="28" t="n">
        <x:v>17</x:v>
      </x:c>
      <x:c r="B18" s="28" t="str">
        <x:v>Dumas et al. Inter-Brain Synchronization during Social Interaction</x:v>
      </x:c>
      <x:c r="C18" s="28" t="str">
        <x:v>Experimental study</x:v>
      </x:c>
      <x:c r="D18" s="28" t="str">
        <x:v>18; 9 dyads</x:v>
      </x:c>
      <x:c r="E18" s="28" t="str">
        <x:v>Spontaneous hand-movement imitation with turn-taking</x:v>
      </x:c>
      <x:c r="F18" s="28" t="str">
        <x:v>Dual EEG</x:v>
      </x:c>
      <x:c r="G18" s="28" t="str">
        <x:v>No</x:v>
      </x:c>
      <x:c r="H18" s="28" t="str">
        <x:v>No</x:v>
      </x:c>
      <x:c r="I18" s="28" t="str">
        <x:v>No</x:v>
      </x:c>
      <x:c r="J18" s="28" t="str">
        <x:v>No</x:v>
      </x:c>
      <x:c r="K18" s="28" t="str">
        <x:v>No</x:v>
      </x:c>
      <x:c r="L18" s="28" t="str">
        <x:v>Dual video</x:v>
      </x:c>
      <x:c r="M18" s="28" t="str">
        <x:v>Yes</x:v>
      </x:c>
      <x:c r="N18" s="28" t="str">
        <x:v>No explicit decision task</x:v>
      </x:c>
      <x:c r="O18" s="28" t="str">
        <x:v>No</x:v>
      </x:c>
      <x:c r="P18" s="28" t="str">
        <x:v>No</x:v>
      </x:c>
      <x:c r="Q18" s="28" t="str">
        <x:v>Continuous turn-taking interaction</x:v>
      </x:c>
      <x:c r="R18" s="28" t="str">
        <x:v>Dual EEG + dual-video simultaneous setup</x:v>
      </x:c>
      <x:c r="S18" s="28" t="str">
        <x:v>Article open; dataset not established</x:v>
      </x:c>
      <x:c r="T18" s="28" t="str">
        <x:v>EEG hyperscanning + natural reciprocal interaction</x:v>
      </x:c>
      <x:c r="U18" s="28" t="str">
        <x:v>No decision/vote/confidence/deception or peripheral physiology</x:v>
      </x:c>
      <x:c r="V18" s="28" t="str">
        <x:v>Primary-source verified</x:v>
      </x:c>
      <x:c r="W18" s="28" t="str">
        <x:v>https://journals.plos.org/plosone/article?id=10.1371/journal.pone.0012166</x:v>
      </x:c>
      <x:c r="X18" s="28" t="str"/>
    </x:row>
    <x:row r="19">
      <x:c r="A19" s="28" t="n">
        <x:v>18</x:v>
      </x:c>
      <x:c r="B19" s="28" t="str">
        <x:v>Cui, Bryant &amp; Reiss — NIRS hyperscanning during cooperation</x:v>
      </x:c>
      <x:c r="C19" s="28" t="str">
        <x:v>Experimental study</x:v>
      </x:c>
      <x:c r="D19" s="28" t="str">
        <x:v>Dyads</x:v>
      </x:c>
      <x:c r="E19" s="28" t="str">
        <x:v>Cooperative task with simultaneous fNIRS</x:v>
      </x:c>
      <x:c r="F19" s="28" t="str">
        <x:v>No (fNIRS)</x:v>
      </x:c>
      <x:c r="G19" s="28" t="str">
        <x:v>No</x:v>
      </x:c>
      <x:c r="H19" s="28" t="str">
        <x:v>No</x:v>
      </x:c>
      <x:c r="I19" s="28" t="str">
        <x:v>No</x:v>
      </x:c>
      <x:c r="J19" s="28" t="str">
        <x:v>No</x:v>
      </x:c>
      <x:c r="K19" s="28" t="str">
        <x:v>No</x:v>
      </x:c>
      <x:c r="L19" s="28" t="str">
        <x:v>No</x:v>
      </x:c>
      <x:c r="M19" s="28" t="str">
        <x:v>Yes</x:v>
      </x:c>
      <x:c r="N19" s="28" t="str">
        <x:v>Cooperative task decisions/actions</x:v>
      </x:c>
      <x:c r="O19" s="28" t="str">
        <x:v>No</x:v>
      </x:c>
      <x:c r="P19" s="28" t="str">
        <x:v>No</x:v>
      </x:c>
      <x:c r="Q19" s="28" t="str">
        <x:v>Repeated cooperative trials</x:v>
      </x:c>
      <x:c r="R19" s="28" t="str">
        <x:v>Simultaneous two-person fNIRS hyperscanning</x:v>
      </x:c>
      <x:c r="S19" s="28" t="str">
        <x:v>No public dataset established</x:v>
      </x:c>
      <x:c r="T19" s="28" t="str">
        <x:v>Interpersonal neural synchrony during cooperation</x:v>
      </x:c>
      <x:c r="U19" s="28" t="str">
        <x:v>Different neural modality; no ARL physiology/audio/video/eye; not social deduction</x:v>
      </x:c>
      <x:c r="V19" s="28" t="str">
        <x:v>Source verified</x:v>
      </x:c>
      <x:c r="W19" s="28" t="str">
        <x:v>https://doi.org/10.1016/j.neuroimage.2011.09.003</x:v>
      </x:c>
      <x:c r="X19" s="28" t="str"/>
    </x:row>
    <x:row r="20">
      <x:c r="A20" s="28" t="n">
        <x:v>19</x:v>
      </x:c>
      <x:c r="B20" s="28" t="str">
        <x:v>Jiang et al. Neural Synchronization during Face-to-Face Communication</x:v>
      </x:c>
      <x:c r="C20" s="28" t="str">
        <x:v>Experimental study</x:v>
      </x:c>
      <x:c r="D20" s="28" t="str">
        <x:v>Dyads</x:v>
      </x:c>
      <x:c r="E20" s="28" t="str">
        <x:v>Face-to-face vs back-to-back dialogue/monologue</x:v>
      </x:c>
      <x:c r="F20" s="28" t="str">
        <x:v>No (fNIRS)</x:v>
      </x:c>
      <x:c r="G20" s="28" t="str">
        <x:v>No</x:v>
      </x:c>
      <x:c r="H20" s="28" t="str">
        <x:v>No</x:v>
      </x:c>
      <x:c r="I20" s="28" t="str">
        <x:v>No</x:v>
      </x:c>
      <x:c r="J20" s="28" t="str">
        <x:v>No</x:v>
      </x:c>
      <x:c r="K20" s="28" t="str">
        <x:v>Speech/dialogue</x:v>
      </x:c>
      <x:c r="L20" s="28" t="str">
        <x:v>No reported as dataset</x:v>
      </x:c>
      <x:c r="M20" s="28" t="str">
        <x:v>Yes</x:v>
      </x:c>
      <x:c r="N20" s="28" t="str">
        <x:v>No explicit decision</x:v>
      </x:c>
      <x:c r="O20" s="28" t="str">
        <x:v>No</x:v>
      </x:c>
      <x:c r="P20" s="28" t="str">
        <x:v>No</x:v>
      </x:c>
      <x:c r="Q20" s="28" t="str">
        <x:v>Condition-based dialogue</x:v>
      </x:c>
      <x:c r="R20" s="28" t="str">
        <x:v>Simultaneous hyperscanning</x:v>
      </x:c>
      <x:c r="S20" s="28" t="str">
        <x:v>No public dataset established</x:v>
      </x:c>
      <x:c r="T20" s="28" t="str">
        <x:v>Natural face-to-face communication + inter-brain synchronization</x:v>
      </x:c>
      <x:c r="U20" s="28" t="str">
        <x:v>No decision/voting/deception and no multimodal physiology</x:v>
      </x:c>
      <x:c r="V20" s="28" t="str">
        <x:v>Primary-source verified</x:v>
      </x:c>
      <x:c r="W20" s="28" t="str">
        <x:v>https://pure.mpg.de/rest/items/item_1837863_1/component/file_1837862/content</x:v>
      </x:c>
      <x:c r="X20" s="28" t="str"/>
    </x:row>
    <x:row r="21">
      <x:c r="A21" s="28" t="n">
        <x:v>20</x:v>
      </x:c>
      <x:c r="B21" s="28" t="str">
        <x:v>De Vico Fallani et al. — Iterated Prisoner's Dilemma EEG hyperscanning</x:v>
      </x:c>
      <x:c r="C21" s="28" t="str">
        <x:v>Experimental study</x:v>
      </x:c>
      <x:c r="D21" s="28" t="str">
        <x:v>52; 26 dyads</x:v>
      </x:c>
      <x:c r="E21" s="28" t="str">
        <x:v>≥200 rounds of cooperate/defect decisions</x:v>
      </x:c>
      <x:c r="F21" s="28" t="str">
        <x:v>Dual 64-ch EEG, 200 Hz</x:v>
      </x:c>
      <x:c r="G21" s="28" t="str">
        <x:v>No</x:v>
      </x:c>
      <x:c r="H21" s="28" t="str">
        <x:v>No</x:v>
      </x:c>
      <x:c r="I21" s="28" t="str">
        <x:v>No</x:v>
      </x:c>
      <x:c r="J21" s="28" t="str">
        <x:v>No</x:v>
      </x:c>
      <x:c r="K21" s="28" t="str">
        <x:v>No</x:v>
      </x:c>
      <x:c r="L21" s="28" t="str">
        <x:v>No</x:v>
      </x:c>
      <x:c r="M21" s="28" t="str">
        <x:v>Yes</x:v>
      </x:c>
      <x:c r="N21" s="28" t="str">
        <x:v>Yes</x:v>
      </x:c>
      <x:c r="O21" s="28" t="str">
        <x:v>No explicit confidence</x:v>
      </x:c>
      <x:c r="P21" s="28" t="str">
        <x:v>Strategic defection</x:v>
      </x:c>
      <x:c r="Q21" s="28" t="str">
        <x:v>Yes, highly repeated</x:v>
      </x:c>
      <x:c r="R21" s="28" t="str">
        <x:v>Two simultaneous EEG systems; trial outcomes/event timing stored</x:v>
      </x:c>
      <x:c r="S21" s="28" t="str">
        <x:v>Article open; dataset not established</x:v>
      </x:c>
      <x:c r="T21" s="28" t="str">
        <x:v>Very strong repeated social-decision + EEG hyperscanning comparator</x:v>
      </x:c>
      <x:c r="U21" s="28" t="str">
        <x:v>Dyads only; no peripheral physiology/eye/audio/video; no confidence or hidden-role social deduction</x:v>
      </x:c>
      <x:c r="V21" s="28" t="str">
        <x:v>Primary-source verified</x:v>
      </x:c>
      <x:c r="W21" s="28" t="str">
        <x:v>https://journals.plos.org/plosone/article?id=10.1371/journal.pone.0014187</x:v>
      </x:c>
      <x:c r="X21" s="28" t="str"/>
    </x:row>
    <x:row r="22">
      <x:c r="A22" s="28" t="n">
        <x:v>21</x:v>
      </x:c>
      <x:c r="B22" s="28" t="str">
        <x:v>Electrophysiological Hyperscanning of Negotiation During Group-Oriented Decision-Making</x:v>
      </x:c>
      <x:c r="C22" s="28" t="str">
        <x:v>Experimental study</x:v>
      </x:c>
      <x:c r="D22" s="28" t="str">
        <x:v>26; 13 dyads</x:v>
      </x:c>
      <x:c r="E22" s="28" t="str">
        <x:v>3-min negotiation toward shared group-oriented decision</x:v>
      </x:c>
      <x:c r="F22" s="28" t="str">
        <x:v>EEG hyperscanning</x:v>
      </x:c>
      <x:c r="G22" s="28" t="str">
        <x:v>No</x:v>
      </x:c>
      <x:c r="H22" s="28" t="str">
        <x:v>No</x:v>
      </x:c>
      <x:c r="I22" s="28" t="str">
        <x:v>No</x:v>
      </x:c>
      <x:c r="J22" s="28" t="str">
        <x:v>No</x:v>
      </x:c>
      <x:c r="K22" s="28" t="str">
        <x:v>Conversation</x:v>
      </x:c>
      <x:c r="L22" s="28" t="str">
        <x:v>No</x:v>
      </x:c>
      <x:c r="M22" s="28" t="str">
        <x:v>Yes</x:v>
      </x:c>
      <x:c r="N22" s="28" t="str">
        <x:v>Yes</x:v>
      </x:c>
      <x:c r="O22" s="28" t="str">
        <x:v>Group-orientation Likert measure</x:v>
      </x:c>
      <x:c r="P22" s="28" t="str">
        <x:v>No</x:v>
      </x:c>
      <x:c r="Q22" s="28" t="str">
        <x:v>Single negotiation episode</x:v>
      </x:c>
      <x:c r="R22" s="28" t="str">
        <x:v>Simultaneous EEG hyperscanning</x:v>
      </x:c>
      <x:c r="S22" s="28" t="str">
        <x:v>Open article</x:v>
      </x:c>
      <x:c r="T22" s="28" t="str">
        <x:v>EEG + live negotiation + shared decision</x:v>
      </x:c>
      <x:c r="U22" s="28" t="str">
        <x:v>Dyads; EEG-only sensing; no repeated rounds, confidence, deception or behavioral AV capture</x:v>
      </x:c>
      <x:c r="V22" s="28" t="str">
        <x:v>Primary-source verified</x:v>
      </x:c>
      <x:c r="W22" s="28" t="str">
        <x:v>https://doi.org/10.3390/app15116073</x:v>
      </x:c>
      <x:c r="X22" s="28" t="str"/>
    </x:row>
    <x:row r="23">
      <x:c r="A23" s="28" t="n">
        <x:v>22</x:v>
      </x:c>
      <x:c r="B23" s="28" t="str">
        <x:v>Ideal Versus Real Group Mental Representations During Communicative Exchange</x:v>
      </x:c>
      <x:c r="C23" s="28" t="str">
        <x:v>Experimental study</x:v>
      </x:c>
      <x:c r="D23" s="28" t="str">
        <x:v>28; 14 dyads</x:v>
      </x:c>
      <x:c r="E23" s="28" t="str">
        <x:v>Discuss group decisions under ideal vs real group representation</x:v>
      </x:c>
      <x:c r="F23" s="28" t="str">
        <x:v>EEG</x:v>
      </x:c>
      <x:c r="G23" s="28" t="str">
        <x:v>HRV + biofeedback</x:v>
      </x:c>
      <x:c r="H23" s="28" t="str">
        <x:v>No reported</x:v>
      </x:c>
      <x:c r="I23" s="28" t="str">
        <x:v>No</x:v>
      </x:c>
      <x:c r="J23" s="28" t="str">
        <x:v>No</x:v>
      </x:c>
      <x:c r="K23" s="28" t="str">
        <x:v>Conversation</x:v>
      </x:c>
      <x:c r="L23" s="28" t="str">
        <x:v>No</x:v>
      </x:c>
      <x:c r="M23" s="28" t="str">
        <x:v>Yes</x:v>
      </x:c>
      <x:c r="N23" s="28" t="str">
        <x:v>Yes</x:v>
      </x:c>
      <x:c r="O23" s="28" t="str">
        <x:v>Self-representation/condition measures</x:v>
      </x:c>
      <x:c r="P23" s="28" t="str">
        <x:v>No</x:v>
      </x:c>
      <x:c r="Q23" s="28" t="str">
        <x:v>Two phases</x:v>
      </x:c>
      <x:c r="R23" s="28" t="str">
        <x:v>EEG + fNIRS + autonomic hyperscanning</x:v>
      </x:c>
      <x:c r="S23" s="28" t="str">
        <x:v>Article source verified</x:v>
      </x:c>
      <x:c r="T23" s="28" t="str">
        <x:v>Neural + autonomic dyadic decision communication</x:v>
      </x:c>
      <x:c r="U23" s="28" t="str">
        <x:v>Dyad and no broad sensor stack/eye/audio-video release/deception/repeated vote-confidence structure</x:v>
      </x:c>
      <x:c r="V23" s="28" t="str">
        <x:v>Primary-source verified</x:v>
      </x:c>
      <x:c r="W23" s="28" t="str">
        <x:v>https://pubmed.ncbi.nlm.nih.gov/41711421/</x:v>
      </x:c>
      <x:c r="X23" s="28" t="str"/>
    </x:row>
    <x:row r="24">
      <x:c r="A24" s="28" t="n">
        <x:v>23</x:v>
      </x:c>
      <x:c r="B24" s="28" t="str">
        <x:v>Mønster et al. Physiological evidence of interpersonal dynamics</x:v>
      </x:c>
      <x:c r="C24" s="28" t="str">
        <x:v>Experimental study</x:v>
      </x:c>
      <x:c r="D24" s="28" t="str">
        <x:v>153; teams of 3</x:v>
      </x:c>
      <x:c r="E24" s="28" t="str">
        <x:v>Origami-boat cooperative production across five 4-min periods</x:v>
      </x:c>
      <x:c r="F24" s="28" t="str">
        <x:v>No</x:v>
      </x:c>
      <x:c r="G24" s="28" t="str">
        <x:v>Heart rate</x:v>
      </x:c>
      <x:c r="H24" s="28" t="str">
        <x:v>Skin conductance</x:v>
      </x:c>
      <x:c r="I24" s="28" t="str">
        <x:v>Corrugator facial EMG</x:v>
      </x:c>
      <x:c r="J24" s="28" t="str">
        <x:v>No</x:v>
      </x:c>
      <x:c r="K24" s="28" t="str">
        <x:v>Behavioral interaction</x:v>
      </x:c>
      <x:c r="L24" s="28" t="str">
        <x:v>Facial behavior/smiling measures</x:v>
      </x:c>
      <x:c r="M24" s="28" t="str">
        <x:v>Yes</x:v>
      </x:c>
      <x:c r="N24" s="28" t="str">
        <x:v>Team routine-adoption decision</x:v>
      </x:c>
      <x:c r="O24" s="28" t="str">
        <x:v>Cohesion/affect measures</x:v>
      </x:c>
      <x:c r="P24" s="28" t="str">
        <x:v>No</x:v>
      </x:c>
      <x:c r="Q24" s="28" t="str">
        <x:v>Yes, five production periods</x:v>
      </x:c>
      <x:c r="R24" s="28" t="str">
        <x:v>Concurrent team physiological recordings; synchrony analysis</x:v>
      </x:c>
      <x:c r="S24" s="28" t="str">
        <x:v>Data availability not established</x:v>
      </x:c>
      <x:c r="T24" s="28" t="str">
        <x:v>3-person simultaneous physiology including EDA + facial EMG + team decision/change</x:v>
      </x:c>
      <x:c r="U24" s="28" t="str">
        <x:v>No EEG/eye tracking/audio; production task rather than social inference/deception</x:v>
      </x:c>
      <x:c r="V24" s="28" t="str">
        <x:v>Primary-source verified</x:v>
      </x:c>
      <x:c r="W24" s="28" t="str">
        <x:v>https://doi.org/10.1016/j.physbeh.2016.01.004</x:v>
      </x:c>
      <x:c r="X24" s="28" t="str"/>
    </x:row>
    <x:row r="25">
      <x:c r="A25" s="28" t="n">
        <x:v>24</x:v>
      </x:c>
      <x:c r="B25" s="28" t="str">
        <x:v>Algumaei et al. Three-Member Collaborative Tank Battle</x:v>
      </x:c>
      <x:c r="C25" s="28" t="str">
        <x:v>Experimental study</x:v>
      </x:c>
      <x:c r="D25" s="28" t="str">
        <x:v>Three-member teams</x:v>
      </x:c>
      <x:c r="E25" s="28" t="str">
        <x:v>Collaborative computer-based Tank Battle task</x:v>
      </x:c>
      <x:c r="F25" s="28" t="str">
        <x:v>No</x:v>
      </x:c>
      <x:c r="G25" s="28" t="str">
        <x:v>Polar H10 IBI/HRV</x:v>
      </x:c>
      <x:c r="H25" s="28" t="str">
        <x:v>No</x:v>
      </x:c>
      <x:c r="I25" s="28" t="str">
        <x:v>No</x:v>
      </x:c>
      <x:c r="J25" s="28" t="str">
        <x:v>No</x:v>
      </x:c>
      <x:c r="K25" s="28" t="str">
        <x:v>Role communication inherent in task</x:v>
      </x:c>
      <x:c r="L25" s="28" t="str">
        <x:v>No</x:v>
      </x:c>
      <x:c r="M25" s="28" t="str">
        <x:v>Yes</x:v>
      </x:c>
      <x:c r="N25" s="28" t="str">
        <x:v>Team operational decisions/actions</x:v>
      </x:c>
      <x:c r="O25" s="28" t="str">
        <x:v>NASA-TLX incl. frustration</x:v>
      </x:c>
      <x:c r="P25" s="28" t="str">
        <x:v>No</x:v>
      </x:c>
      <x:c r="Q25" s="28" t="str">
        <x:v>Multiple trials</x:v>
      </x:c>
      <x:c r="R25" s="28" t="str">
        <x:v>Custom app starts/stops 3 Polar H10 streams; trial start/end used for synchronization</x:v>
      </x:c>
      <x:c r="S25" s="28" t="str">
        <x:v>Available on reasonable request</x:v>
      </x:c>
      <x:c r="T25" s="28" t="str">
        <x:v>Three-person collaborative task + synchronized physiology + performance</x:v>
      </x:c>
      <x:c r="U25" s="28" t="str">
        <x:v>Only cardiac physiology; no EEG/GSR/EMG/eye/AV; no deception/confidence voting</x:v>
      </x:c>
      <x:c r="V25" s="28" t="str">
        <x:v>Primary-source verified</x:v>
      </x:c>
      <x:c r="W25" s="28" t="str">
        <x:v>https://pmc.ncbi.nlm.nih.gov/articles/PMC9960820/</x:v>
      </x:c>
      <x:c r="X25" s="28" t="str"/>
    </x:row>
    <x:row r="26">
      <x:c r="A26" s="28" t="n">
        <x:v>25</x:v>
      </x:c>
      <x:c r="B26" s="28" t="str">
        <x:v>CASE</x:v>
      </x:c>
      <x:c r="C26" s="28" t="str">
        <x:v>Dataset</x:v>
      </x:c>
      <x:c r="D26" s="28" t="str">
        <x:v>30; individual</x:v>
      </x:c>
      <x:c r="E26" s="28" t="str">
        <x:v>Emotion-video viewing with continuous joystick annotation</x:v>
      </x:c>
      <x:c r="F26" s="28" t="str">
        <x:v>No</x:v>
      </x:c>
      <x:c r="G26" s="28" t="str">
        <x:v>ECG + BVP</x:v>
      </x:c>
      <x:c r="H26" s="28" t="str">
        <x:v>GSR</x:v>
      </x:c>
      <x:c r="I26" s="28" t="str">
        <x:v>3 EMG channels</x:v>
      </x:c>
      <x:c r="J26" s="28" t="str">
        <x:v>No</x:v>
      </x:c>
      <x:c r="K26" s="28" t="str">
        <x:v>No</x:v>
      </x:c>
      <x:c r="L26" s="28" t="str">
        <x:v>No</x:v>
      </x:c>
      <x:c r="M26" s="28" t="str">
        <x:v>No</x:v>
      </x:c>
      <x:c r="N26" s="28" t="str">
        <x:v>No</x:v>
      </x:c>
      <x:c r="O26" s="28" t="str">
        <x:v>Continuous valence/arousal</x:v>
      </x:c>
      <x:c r="P26" s="28" t="str">
        <x:v>No</x:v>
      </x:c>
      <x:c r="Q26" s="28" t="str">
        <x:v>Repeated video stimuli</x:v>
      </x:c>
      <x:c r="R26" s="28" t="str">
        <x:v>Eight physiological channels synchronized at 1000 Hz with continuous annotation</x:v>
      </x:c>
      <x:c r="S26" s="28" t="str">
        <x:v>Public</x:v>
      </x:c>
      <x:c r="T26" s="28" t="str">
        <x:v>High-quality ECG+GSR+EMG synchronization and continuous behavioral annotation</x:v>
      </x:c>
      <x:c r="U26" s="28" t="str">
        <x:v>No EEG/eye/audio/video/group interaction or decision-making</x:v>
      </x:c>
      <x:c r="V26" s="28" t="str">
        <x:v>Primary-source verified</x:v>
      </x:c>
      <x:c r="W26" s="28" t="str">
        <x:v>https://www.nature.com/articles/s41597-019-0209-0</x:v>
      </x:c>
      <x:c r="X26" s="28" t="str">
        <x:v>https://springernature.figshare.com/collections/CASE_Dataset/4260668</x:v>
      </x:c>
    </x:row>
  </x:sheetData>
  <x:conditionalFormatting sqref="F2:F26">
    <x:cfRule type="expression" dxfId="0" priority="1">
      <x:formula>F2="Yes"</x:formula>
    </x:cfRule>
    <x:cfRule type="expression" dxfId="1" priority="2">
      <x:formula>LEFT(F2,2)="No"</x:formula>
    </x:cfRule>
  </x:conditionalFormatting>
  <x:conditionalFormatting sqref="G2:G26">
    <x:cfRule type="expression" dxfId="2" priority="3">
      <x:formula>G2="Yes"</x:formula>
    </x:cfRule>
    <x:cfRule type="expression" dxfId="3" priority="4">
      <x:formula>LEFT(G2,2)="No"</x:formula>
    </x:cfRule>
  </x:conditionalFormatting>
  <x:conditionalFormatting sqref="H2:H26">
    <x:cfRule type="expression" dxfId="4" priority="5">
      <x:formula>H2="Yes"</x:formula>
    </x:cfRule>
    <x:cfRule type="expression" dxfId="5" priority="6">
      <x:formula>LEFT(H2,2)="No"</x:formula>
    </x:cfRule>
  </x:conditionalFormatting>
  <x:conditionalFormatting sqref="I2:I26">
    <x:cfRule type="expression" dxfId="6" priority="7">
      <x:formula>I2="Yes"</x:formula>
    </x:cfRule>
    <x:cfRule type="expression" dxfId="7" priority="8">
      <x:formula>LEFT(I2,2)="No"</x:formula>
    </x:cfRule>
  </x:conditionalFormatting>
  <x:conditionalFormatting sqref="J2:J26">
    <x:cfRule type="expression" dxfId="8" priority="9">
      <x:formula>J2="Yes"</x:formula>
    </x:cfRule>
    <x:cfRule type="expression" dxfId="9" priority="10">
      <x:formula>LEFT(J2,2)="No"</x:formula>
    </x:cfRule>
  </x:conditionalFormatting>
  <x:conditionalFormatting sqref="K2:K26">
    <x:cfRule type="expression" dxfId="10" priority="11">
      <x:formula>K2="Yes"</x:formula>
    </x:cfRule>
    <x:cfRule type="expression" dxfId="11" priority="12">
      <x:formula>LEFT(K2,2)="No"</x:formula>
    </x:cfRule>
  </x:conditionalFormatting>
  <x:conditionalFormatting sqref="L2:L26">
    <x:cfRule type="expression" dxfId="12" priority="13">
      <x:formula>L2="Yes"</x:formula>
    </x:cfRule>
    <x:cfRule type="expression" dxfId="13" priority="14">
      <x:formula>LEFT(L2,2)="No"</x:formula>
    </x:cfRule>
  </x:conditionalFormatting>
  <x:conditionalFormatting sqref="M2:M26">
    <x:cfRule type="expression" dxfId="14" priority="15">
      <x:formula>M2="Yes"</x:formula>
    </x:cfRule>
    <x:cfRule type="expression" dxfId="15" priority="16">
      <x:formula>LEFT(M2,2)="No"</x:formula>
    </x:cfRule>
  </x:conditionalFormatting>
  <x:conditionalFormatting sqref="N2:N26">
    <x:cfRule type="expression" dxfId="16" priority="17">
      <x:formula>N2="Yes"</x:formula>
    </x:cfRule>
    <x:cfRule type="expression" dxfId="17" priority="18">
      <x:formula>LEFT(N2,2)="No"</x:formula>
    </x:cfRule>
  </x:conditionalFormatting>
  <x:conditionalFormatting sqref="P2:P26">
    <x:cfRule type="expression" dxfId="18" priority="19">
      <x:formula>P2="Yes"</x:formula>
    </x:cfRule>
    <x:cfRule type="expression" dxfId="19" priority="20">
      <x:formula>LEFT(P2,2)="No"</x:formula>
    </x:cfRule>
  </x:conditionalFormatting>
  <x:conditionalFormatting sqref="Q2:Q26">
    <x:cfRule type="expression" dxfId="20" priority="21">
      <x:formula>Q2="Yes"</x:formula>
    </x:cfRule>
    <x:cfRule type="expression" dxfId="21" priority="22">
      <x:formula>LEFT(Q2,2)="No"</x:formula>
    </x:cfRule>
  </x:conditionalFormatting>
  <x:conditionalFormatting sqref="S2:S26">
    <x:cfRule type="expression" dxfId="22" priority="23">
      <x:formula>S2="Yes"</x:formula>
    </x:cfRule>
    <x:cfRule type="expression" dxfId="23" priority="24">
      <x:formula>LEFT(S2,2)="No"</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48" hidden="0" customWidth="1"/>
    <x:col min="2" max="2" width="18" hidden="0" customWidth="1"/>
    <x:col min="3" max="3" width="18" hidden="0" customWidth="1"/>
    <x:col min="4" max="4" width="72" hidden="0" customWidth="1"/>
  </x:cols>
  <x:sheetData>
    <x:row r="1">
      <x:c r="A1" s="30" t="str">
        <x:v>ARL Dimension</x:v>
      </x:c>
      <x:c r="B1" s="30" t="str">
        <x:v>Audited Comparators with Feature</x:v>
      </x:c>
      <x:c r="C1" s="30" t="str">
        <x:v>Audited N</x:v>
      </x:c>
      <x:c r="D1" s="30" t="str">
        <x:v>Interpretation after 25-comparator audit</x:v>
      </x:c>
    </x:row>
    <x:row r="2">
      <x:c r="A2" s="16" t="str">
        <x:v>EEG / neural electrophysiology</x:v>
      </x:c>
      <x:c r="B2" s="16" t="n">
        <x:v>12</x:v>
      </x:c>
      <x:c r="C2" s="16" t="n">
        <x:v>25</x:v>
      </x:c>
      <x:c r="D2" s="16" t="str">
        <x:v>Common enough individually; novelty cannot rest on EEG.</x:v>
      </x:c>
    </x:row>
    <x:row r="3">
      <x:c r="A3" s="16" t="str">
        <x:v>Cardiac physiology (ECG/PPG/HR/HRV)</x:v>
      </x:c>
      <x:c r="B3" s="16" t="n">
        <x:v>13</x:v>
      </x:c>
      <x:c r="C3" s="16" t="n">
        <x:v>25</x:v>
      </x:c>
      <x:c r="D3" s="16" t="str">
        <x:v>Common peripheral modality, including some team studies.</x:v>
      </x:c>
    </x:row>
    <x:row r="4">
      <x:c r="A4" s="16" t="str">
        <x:v>EDA / GSR</x:v>
      </x:c>
      <x:c r="B4" s="16" t="n">
        <x:v>11</x:v>
      </x:c>
      <x:c r="C4" s="16" t="n">
        <x:v>25</x:v>
      </x:c>
      <x:c r="D4" s="16" t="str">
        <x:v>Common in affect/physiology datasets; less common in live group-decision studies.</x:v>
      </x:c>
    </x:row>
    <x:row r="5">
      <x:c r="A5" s="16" t="str">
        <x:v>EMG</x:v>
      </x:c>
      <x:c r="B5" s="16" t="n">
        <x:v>5</x:v>
      </x:c>
      <x:c r="C5" s="16" t="n">
        <x:v>25</x:v>
      </x:c>
      <x:c r="D5" s="16" t="str">
        <x:v>Less common; appears mostly in affect/team-physiology datasets rather than decision hyperscanning.</x:v>
      </x:c>
    </x:row>
    <x:row r="6">
      <x:c r="A6" s="16" t="str">
        <x:v>Eye tracking</x:v>
      </x:c>
      <x:c r="B6" s="16" t="n">
        <x:v>4</x:v>
      </x:c>
      <x:c r="C6" s="16" t="n">
        <x:v>25</x:v>
      </x:c>
      <x:c r="D6" s="16" t="str">
        <x:v>Relatively uncommon among close decision/social comparators.</x:v>
      </x:c>
    </x:row>
    <x:row r="7">
      <x:c r="A7" s="16" t="str">
        <x:v>Audio / speech</x:v>
      </x:c>
      <x:c r="B7" s="16" t="n">
        <x:v>10</x:v>
      </x:c>
      <x:c r="C7" s="16" t="n">
        <x:v>25</x:v>
      </x:c>
      <x:c r="D7" s="16" t="str">
        <x:v>Common in interaction corpora but rarely co-released with broad physiology.</x:v>
      </x:c>
    </x:row>
    <x:row r="8">
      <x:c r="A8" s="16" t="str">
        <x:v>Video</x:v>
      </x:c>
      <x:c r="B8" s="16" t="n">
        <x:v>10</x:v>
      </x:c>
      <x:c r="C8" s="16" t="n">
        <x:v>25</x:v>
      </x:c>
      <x:c r="D8" s="16" t="str">
        <x:v>Common in social/affective corpora; often absent from neural decision studies.</x:v>
      </x:c>
    </x:row>
    <x:row r="9">
      <x:c r="A9" s="16" t="str">
        <x:v>Live interpersonal interaction</x:v>
      </x:c>
      <x:c r="B9" s="16" t="n">
        <x:v>14</x:v>
      </x:c>
      <x:c r="C9" s="16" t="n">
        <x:v>25</x:v>
      </x:c>
      <x:c r="D9" s="16" t="str">
        <x:v>Well established; not unique by itself.</x:v>
      </x:c>
    </x:row>
    <x:row r="10">
      <x:c r="A10" s="16" t="str">
        <x:v>Explicit decision-making</x:v>
      </x:c>
      <x:c r="B10" s="16" t="n">
        <x:v>14</x:v>
      </x:c>
      <x:c r="C10" s="16" t="n">
        <x:v>25</x:v>
      </x:c>
      <x:c r="D10" s="16" t="str">
        <x:v>Well established across behavioral, neuroeconomic and team paradigms.</x:v>
      </x:c>
    </x:row>
    <x:row r="11">
      <x:c r="A11" s="16" t="str">
        <x:v>Explicit confidence measurement</x:v>
      </x:c>
      <x:c r="B11" s="16" t="n">
        <x:v>3</x:v>
      </x:c>
      <x:c r="C11" s="16" t="n">
        <x:v>25</x:v>
      </x:c>
      <x:c r="D11" s="16" t="str">
        <x:v>Rare among close multimodal comparators; important ARL differentiator.</x:v>
      </x:c>
    </x:row>
    <x:row r="12">
      <x:c r="A12" s="16" t="str">
        <x:v>Deception / social deduction / strategic misinformation</x:v>
      </x:c>
      <x:c r="B12" s="16" t="n">
        <x:v>5</x:v>
      </x:c>
      <x:c r="C12" s="16" t="n">
        <x:v>25</x:v>
      </x:c>
      <x:c r="D12" s="16" t="str">
        <x:v>Exists, but physiological and group-interaction coverage are usually separated.</x:v>
      </x:c>
    </x:row>
    <x:row r="13">
      <x:c r="A13" s="16" t="str">
        <x:v>Repeated / multi-round decisions</x:v>
      </x:c>
      <x:c r="B13" s="16" t="n">
        <x:v>12</x:v>
      </x:c>
      <x:c r="C13" s="16" t="n">
        <x:v>25</x:v>
      </x:c>
      <x:c r="D13" s="16" t="str">
        <x:v>Exists in games/trials; combination with broad multimodal group sensing remains uncommon.</x:v>
      </x:c>
    </x:row>
    <x:row r="14">
      <x:c r="A14" s="16" t="str">
        <x:v>Simultaneous multi-person physiology/neural recording (&gt;=2 people)</x:v>
      </x:c>
      <x:c r="B14" s="16" t="n">
        <x:v>10</x:v>
      </x:c>
      <x:c r="C14" s="16" t="n">
        <x:v>25</x:v>
      </x:c>
      <x:c r="D14" s="16" t="str">
        <x:v>Established in hyperscanning/team physiology, usually with narrow sensor sets.</x:v>
      </x:c>
    </x:row>
    <x:row r="15">
      <x:c r="A15" s="16" t="str">
        <x:v>Group size &gt;=3 with simultaneous sensing</x:v>
      </x:c>
      <x:c r="B15" s="16" t="n">
        <x:v>5</x:v>
      </x:c>
      <x:c r="C15" s="16" t="n">
        <x:v>25</x:v>
      </x:c>
      <x:c r="D15" s="16" t="str">
        <x:v>Much rarer than dyadic work; strong ARL-relevant gap axis.</x:v>
      </x:c>
    </x:row>
    <x:row r="16">
      <x:c r="A16" s="16" t="str">
        <x:v>Broad sensing stack (&gt;=5 ARL-relevant sensing/behavior modalities)</x:v>
      </x:c>
      <x:c r="B16" s="16" t="n">
        <x:v>7</x:v>
      </x:c>
      <x:c r="C16" s="16" t="n">
        <x:v>25</x:v>
      </x:c>
      <x:c r="D16" s="16" t="str">
        <x:v>Exists mainly in individual affect/deception datasets, not group decision paradigms.</x:v>
      </x:c>
    </x:row>
    <x:row r="17">
      <x:c r="A17" s="16" t="str">
        <x:v>LSL / explicit modern multi-stream synchronization</x:v>
      </x:c>
      <x:c r="B17" s="16" t="n">
        <x:v>1</x:v>
      </x:c>
      <x:c r="C17" s="16" t="n">
        <x:v>25</x:v>
      </x:c>
      <x:c r="D17" s="16" t="str">
        <x:v>GroupAffect-4 is the strongest direct LSL comparator in this audit.</x:v>
      </x:c>
    </x:row>
    <x:row r="18">
      <x:c r="A18" s="16" t="str">
        <x:v>ARL-like combination: group &gt;=3 + broad physiology/neural + live decisions + repeated rounds + confidence + deception</x:v>
      </x:c>
      <x:c r="B18" s="16" t="n">
        <x:v>0</x:v>
      </x:c>
      <x:c r="C18" s="16" t="n">
        <x:v>25</x:v>
      </x:c>
      <x:c r="D18" s="16" t="str">
        <x:v>No audited comparator currently matches the complete planned ARL configuration. This remains a working hypothesis pending the rest of the repository/systematic search.</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36" hidden="0" customWidth="1"/>
    <x:col min="3" max="3" width="20" hidden="0" customWidth="1"/>
    <x:col min="4" max="4" width="28" hidden="0" customWidth="1"/>
    <x:col min="5" max="5" width="38"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25" hidden="0" customWidth="1"/>
    <x:col min="17" max="17" width="20" hidden="0" customWidth="1"/>
    <x:col min="18" max="18" width="38" hidden="0" customWidth="1"/>
    <x:col min="19" max="19" width="20" hidden="0" customWidth="1"/>
    <x:col min="20" max="20" width="42" hidden="0" customWidth="1"/>
    <x:col min="21" max="21" width="46" hidden="0" customWidth="1"/>
    <x:col min="22" max="22" width="28" hidden="0" customWidth="1"/>
    <x:col min="23" max="23" width="48" hidden="0" customWidth="1"/>
    <x:col min="24" max="24" width="48" hidden="0" customWidth="1"/>
  </x:cols>
  <x:sheetData>
    <x:row r="1">
      <x:c r="A1" s="37" t="str">
        <x:v>Audit #</x:v>
      </x:c>
      <x:c r="B1" s="37" t="str">
        <x:v>Comparator / Study</x:v>
      </x:c>
      <x:c r="C1" s="37" t="str">
        <x:v>Evidence Type</x:v>
      </x:c>
      <x:c r="D1" s="37" t="str">
        <x:v>Participants / Interaction</x:v>
      </x:c>
      <x:c r="E1" s="37" t="str">
        <x:v>Primary Task / Paradigm</x:v>
      </x:c>
      <x:c r="F1" s="37" t="str">
        <x:v>EEG</x:v>
      </x:c>
      <x:c r="G1" s="37" t="str">
        <x:v>ECG / PPG / HR</x:v>
      </x:c>
      <x:c r="H1" s="37" t="str">
        <x:v>EDA / GSR</x:v>
      </x:c>
      <x:c r="I1" s="37" t="str">
        <x:v>EMG</x:v>
      </x:c>
      <x:c r="J1" s="37" t="str">
        <x:v>Eye Tracking</x:v>
      </x:c>
      <x:c r="K1" s="37" t="str">
        <x:v>Audio</x:v>
      </x:c>
      <x:c r="L1" s="37" t="str">
        <x:v>Video</x:v>
      </x:c>
      <x:c r="M1" s="37" t="str">
        <x:v>Interactive?</x:v>
      </x:c>
      <x:c r="N1" s="37" t="str">
        <x:v>Decision-Making?</x:v>
      </x:c>
      <x:c r="O1" s="37" t="str">
        <x:v>Confidence / Self-report</x:v>
      </x:c>
      <x:c r="P1" s="37" t="str">
        <x:v>Deception / Strategic Misinfo?</x:v>
      </x:c>
      <x:c r="Q1" s="37" t="str">
        <x:v>Repeated / Multi-round?</x:v>
      </x:c>
      <x:c r="R1" s="37" t="str">
        <x:v>Synchronization / Alignment</x:v>
      </x:c>
      <x:c r="S1" s="37" t="str">
        <x:v>Public Data?</x:v>
      </x:c>
      <x:c r="T1" s="37" t="str">
        <x:v>Closest ARL Overlap</x:v>
      </x:c>
      <x:c r="U1" s="37" t="str">
        <x:v>Critical Difference vs Proposed ARL</x:v>
      </x:c>
      <x:c r="V1" s="37" t="str">
        <x:v>Verification Status</x:v>
      </x:c>
      <x:c r="W1" s="37" t="str">
        <x:v>Primary Source URL</x:v>
      </x:c>
      <x:c r="X1" s="37" t="str">
        <x:v>Data / Access URL</x:v>
      </x:c>
    </x:row>
    <x:row r="2">
      <x:c r="A2" s="28" t="n">
        <x:v>1</x:v>
      </x:c>
      <x:c r="B2" s="28" t="str">
        <x:v>AMIGOS</x:v>
      </x:c>
      <x:c r="C2" s="28" t="str">
        <x:v>Dataset</x:v>
      </x:c>
      <x:c r="D2" s="28" t="str">
        <x:v>40; individual + 4-person group condition</x:v>
      </x:c>
      <x:c r="E2" s="28" t="str">
        <x:v>Affective video viewing; group co-viewing</x:v>
      </x:c>
      <x:c r="F2" s="28" t="str">
        <x:v>Yes</x:v>
      </x:c>
      <x:c r="G2" s="28" t="str">
        <x:v>ECG</x:v>
      </x:c>
      <x:c r="H2" s="28" t="str">
        <x:v>Yes</x:v>
      </x:c>
      <x:c r="I2" s="28" t="str">
        <x:v>No reported</x:v>
      </x:c>
      <x:c r="J2" s="28" t="str">
        <x:v>No</x:v>
      </x:c>
      <x:c r="K2" s="28" t="str">
        <x:v>Reported/verify release coverage</x:v>
      </x:c>
      <x:c r="L2" s="28" t="str">
        <x:v>Yes</x:v>
      </x:c>
      <x:c r="M2" s="28" t="str">
        <x:v>Partial social context</x:v>
      </x:c>
      <x:c r="N2" s="28" t="str">
        <x:v>No</x:v>
      </x:c>
      <x:c r="O2" s="28" t="str">
        <x:v>Affect/self-assessment</x:v>
      </x:c>
      <x:c r="P2" s="28" t="str">
        <x:v>No</x:v>
      </x:c>
      <x:c r="Q2" s="28" t="str">
        <x:v>Repeated stimuli</x:v>
      </x:c>
      <x:c r="R2" s="28" t="str">
        <x:v>Central PC synchronized acquisition/self-assessment</x:v>
      </x:c>
      <x:c r="S2" s="28" t="str">
        <x:v>Restricted academic</x:v>
      </x:c>
      <x:c r="T2" s="28" t="str">
        <x:v>Wearable EEG+ECG+GSR + group context + video</x:v>
      </x:c>
      <x:c r="U2" s="28" t="str">
        <x:v>Passive co-viewing rather than interactive multi-round decision/deception; no eye tracking/EMG</x:v>
      </x:c>
      <x:c r="V2" s="28" t="str">
        <x:v>Primary-source verified</x:v>
      </x:c>
      <x:c r="W2" s="28" t="str">
        <x:v>https://www.eecs.qmul.ac.uk/mmv/datasets/amigos/doc/Paper_TAC.pdf</x:v>
      </x:c>
      <x:c r="X2" s="28" t="str">
        <x:v>https://eecs.qmul.ac.uk/mmv/datasets/amigos/</x:v>
      </x:c>
    </x:row>
    <x:row r="3">
      <x:c r="A3" s="28" t="n">
        <x:v>2</x:v>
      </x:c>
      <x:c r="B3" s="28" t="str">
        <x:v>MAHNOB-HCI</x:v>
      </x:c>
      <x:c r="C3" s="28" t="str">
        <x:v>Dataset</x:v>
      </x:c>
      <x:c r="D3" s="28" t="str">
        <x:v>27 usable; individual</x:v>
      </x:c>
      <x:c r="E3" s="28" t="str">
        <x:v>Emotion elicitation + implicit multimedia tagging</x:v>
      </x:c>
      <x:c r="F3" s="28" t="str">
        <x:v>Yes</x:v>
      </x:c>
      <x:c r="G3" s="28" t="str">
        <x:v>ECG</x:v>
      </x:c>
      <x:c r="H3" s="28" t="str">
        <x:v>Yes</x:v>
      </x:c>
      <x:c r="I3" s="28" t="str">
        <x:v>No reported</x:v>
      </x:c>
      <x:c r="J3" s="28" t="str">
        <x:v>Yes</x:v>
      </x:c>
      <x:c r="K3" s="28" t="str">
        <x:v>Yes</x:v>
      </x:c>
      <x:c r="L3" s="28" t="str">
        <x:v>Yes</x:v>
      </x:c>
      <x:c r="M3" s="28" t="str">
        <x:v>No</x:v>
      </x:c>
      <x:c r="N3" s="28" t="str">
        <x:v>Limited tagging decision</x:v>
      </x:c>
      <x:c r="O3" s="28" t="str">
        <x:v>Arousal/valence/dominance/predictability</x:v>
      </x:c>
      <x:c r="P3" s="28" t="str">
        <x:v>No</x:v>
      </x:c>
      <x:c r="Q3" s="28" t="str">
        <x:v>Multiple trials</x:v>
      </x:c>
      <x:c r="R3" s="28" t="str">
        <x:v>Synchronized multimodal laboratory acquisition</x:v>
      </x:c>
      <x:c r="S3" s="28" t="str">
        <x:v>Academic access</x:v>
      </x:c>
      <x:c r="T3" s="28" t="str">
        <x:v>Dense EEG+ECG+GSR+eye+audio+video sensing</x:v>
      </x:c>
      <x:c r="U3" s="28" t="str">
        <x:v>Individual stimulus-response design; no interacting group/social-deception process</x:v>
      </x:c>
      <x:c r="V3" s="28" t="str">
        <x:v>Primary-source verified</x:v>
      </x:c>
      <x:c r="W3" s="28" t="str">
        <x:v>https://doi.org/10.1109/T-AFFC.2011.25</x:v>
      </x:c>
      <x:c r="X3" s="28" t="str">
        <x:v>https://mahnob-db.eu/</x:v>
      </x:c>
    </x:row>
    <x:row r="4">
      <x:c r="A4" s="28" t="n">
        <x:v>3</x:v>
      </x:c>
      <x:c r="B4" s="28" t="str">
        <x:v>K-EmoCon</x:v>
      </x:c>
      <x:c r="C4" s="28" t="str">
        <x:v>Dataset</x:v>
      </x:c>
      <x:c r="D4" s="28" t="str">
        <x:v>32; 16 dyads</x:v>
      </x:c>
      <x:c r="E4" s="28" t="str">
        <x:v>~10-min face-to-face debate</x:v>
      </x:c>
      <x:c r="F4" s="28" t="str">
        <x:v>Yes</x:v>
      </x:c>
      <x:c r="G4" s="28" t="str">
        <x:v>PPG + HR</x:v>
      </x:c>
      <x:c r="H4" s="28" t="str">
        <x:v>Yes</x:v>
      </x:c>
      <x:c r="I4" s="28" t="str">
        <x:v>No</x:v>
      </x:c>
      <x:c r="J4" s="28" t="str">
        <x:v>No</x:v>
      </x:c>
      <x:c r="K4" s="28" t="str">
        <x:v>Yes</x:v>
      </x:c>
      <x:c r="L4" s="28" t="str">
        <x:v>Yes</x:v>
      </x:c>
      <x:c r="M4" s="28" t="str">
        <x:v>Yes</x:v>
      </x:c>
      <x:c r="N4" s="28" t="str">
        <x:v>Argument/position task; not repeated voting</x:v>
      </x:c>
      <x:c r="O4" s="28" t="str">
        <x:v>Continuous retrospective emotion ratings</x:v>
      </x:c>
      <x:c r="P4" s="28" t="str">
        <x:v>No</x:v>
      </x:c>
      <x:c r="Q4" s="28" t="str">
        <x:v>No</x:v>
      </x:c>
      <x:c r="R4" s="28" t="str">
        <x:v>UTC-normalized timestamps; aligned/clipped to debate interval</x:v>
      </x:c>
      <x:c r="S4" s="28" t="str">
        <x:v>Public/research access</x:v>
      </x:c>
      <x:c r="T4" s="28" t="str">
        <x:v>Physiology + audiovisual + genuine interpersonal interaction</x:v>
      </x:c>
      <x:c r="U4" s="28" t="str">
        <x:v>Dyads; emotion/debate focus; no eye tracking/EMG/group social deduction/round-wise confidence</x:v>
      </x:c>
      <x:c r="V4" s="28" t="str">
        <x:v>Primary-source verified</x:v>
      </x:c>
      <x:c r="W4" s="28" t="str">
        <x:v>https://www.nature.com/articles/s41597-020-00630-y</x:v>
      </x:c>
      <x:c r="X4" s="28" t="str">
        <x:v>https://zenodo.org/records/3931963</x:v>
      </x:c>
    </x:row>
    <x:row r="5">
      <x:c r="A5" s="28" t="n">
        <x:v>4</x:v>
      </x:c>
      <x:c r="B5" s="28" t="str">
        <x:v>GroupAffect-4</x:v>
      </x:c>
      <x:c r="C5" s="28" t="str">
        <x:v>Dataset</x:v>
      </x:c>
      <x:c r="D5" s="28" t="str">
        <x:v>40; 10 groups of 4</x:v>
      </x:c>
      <x:c r="E5" s="28" t="str">
        <x:v>Hidden-profile decision + negotiation + idea generation + public-goods micro-game</x:v>
      </x:c>
      <x:c r="F5" s="28" t="str">
        <x:v>No</x:v>
      </x:c>
      <x:c r="G5" s="28" t="str">
        <x:v>PPG</x:v>
      </x:c>
      <x:c r="H5" s="28" t="str">
        <x:v>Yes</x:v>
      </x:c>
      <x:c r="I5" s="28" t="str">
        <x:v>No</x:v>
      </x:c>
      <x:c r="J5" s="28" t="str">
        <x:v>Yes</x:v>
      </x:c>
      <x:c r="K5" s="28" t="str">
        <x:v>Yes</x:v>
      </x:c>
      <x:c r="L5" s="28" t="str">
        <x:v>Yes</x:v>
      </x:c>
      <x:c r="M5" s="28" t="str">
        <x:v>Yes</x:v>
      </x:c>
      <x:c r="N5" s="28" t="str">
        <x:v>Yes</x:v>
      </x:c>
      <x:c r="O5" s="28" t="str">
        <x:v>SAM + questionnaires</x:v>
      </x:c>
      <x:c r="P5" s="28" t="str">
        <x:v>No</x:v>
      </x:c>
      <x:c r="Q5" s="28" t="str">
        <x:v>Yes</x:v>
      </x:c>
      <x:c r="R5" s="28" t="str">
        <x:v>Lab Streaming Layer (LSL)</x:v>
      </x:c>
      <x:c r="S5" s="28" t="str">
        <x:v>Public</x:v>
      </x:c>
      <x:c r="T5" s="28" t="str">
        <x:v>Strongest group + structured decision + eye/audio + LSL comparator</x:v>
      </x:c>
      <x:c r="U5" s="28" t="str">
        <x:v>No EEG/ECG/EMG; 4-person collaboration, not repeated social-deception vote-confidence paradigm</x:v>
      </x:c>
      <x:c r="V5" s="28" t="str">
        <x:v>Primary-source verified</x:v>
      </x:c>
      <x:c r="W5" s="28" t="str">
        <x:v>https://arxiv.org/abs/2605.19765</x:v>
      </x:c>
      <x:c r="X5" s="28" t="str">
        <x:v>https://zenodo.org/records/20037847</x:v>
      </x:c>
    </x:row>
    <x:row r="6">
      <x:c r="A6" s="28" t="n">
        <x:v>5</x:v>
      </x:c>
      <x:c r="B6" s="28" t="str">
        <x:v>CogniModal-D</x:v>
      </x:c>
      <x:c r="C6" s="28" t="str">
        <x:v>Dataset / study</x:v>
      </x:c>
      <x:c r="D6" s="28" t="str">
        <x:v>100+; individual</x:v>
      </x:c>
      <x:c r="E6" s="28" t="str">
        <x:v>Mock-crime and social-relationship truth/lie scenarios</x:v>
      </x:c>
      <x:c r="F6" s="28" t="str">
        <x:v>Yes</x:v>
      </x:c>
      <x:c r="G6" s="28" t="str">
        <x:v>ECG</x:v>
      </x:c>
      <x:c r="H6" s="28" t="str">
        <x:v>Yes</x:v>
      </x:c>
      <x:c r="I6" s="28" t="str">
        <x:v>No</x:v>
      </x:c>
      <x:c r="J6" s="28" t="str">
        <x:v>Yes</x:v>
      </x:c>
      <x:c r="K6" s="28" t="str">
        <x:v>Yes</x:v>
      </x:c>
      <x:c r="L6" s="28" t="str">
        <x:v>Yes</x:v>
      </x:c>
      <x:c r="M6" s="28" t="str">
        <x:v>No</x:v>
      </x:c>
      <x:c r="N6" s="28" t="str">
        <x:v>Deception classification task</x:v>
      </x:c>
      <x:c r="O6" s="28" t="str">
        <x:v>Task labels; no ARL-style decision confidence reported</x:v>
      </x:c>
      <x:c r="P6" s="28" t="str">
        <x:v>Yes</x:v>
      </x:c>
      <x:c r="Q6" s="28" t="str">
        <x:v>Multiple scenarios</x:v>
      </x:c>
      <x:c r="R6" s="28" t="str">
        <x:v>Simultaneous streams; task markers/common alignment</x:v>
      </x:c>
      <x:c r="S6" s="28" t="str">
        <x:v>Access status needs final verification</x:v>
      </x:c>
      <x:c r="T6" s="28" t="str">
        <x:v>Strongest broad sensing + deception comparator</x:v>
      </x:c>
      <x:c r="U6" s="28" t="str">
        <x:v>Individual deception detection; no multi-person discussion/voting/belief updating; no EMG</x:v>
      </x:c>
      <x:c r="V6" s="28" t="str">
        <x:v>Primary-source verified; access pending</x:v>
      </x:c>
      <x:c r="W6" s="28" t="str">
        <x:v>https://www.nature.com/articles/s41598-025-92399-6</x:v>
      </x:c>
      <x:c r="X6" s="28" t="str">
        <x:v>https://www.nature.com/articles/s41598-025-92399-6</x:v>
      </x:c>
    </x:row>
    <x:row r="7">
      <x:c r="A7" s="28" t="n">
        <x:v>6</x:v>
      </x:c>
      <x:c r="B7" s="28" t="str">
        <x:v>DEAP</x:v>
      </x:c>
      <x:c r="C7" s="28" t="str">
        <x:v>Dataset</x:v>
      </x:c>
      <x:c r="D7" s="28" t="str">
        <x:v>32; individual</x:v>
      </x:c>
      <x:c r="E7" s="28" t="str">
        <x:v>40 one-minute music-video trials</x:v>
      </x:c>
      <x:c r="F7" s="28" t="str">
        <x:v>32-ch EEG</x:v>
      </x:c>
      <x:c r="G7" s="28" t="str">
        <x:v>Plethysmograph</x:v>
      </x:c>
      <x:c r="H7" s="28" t="str">
        <x:v>GSR</x:v>
      </x:c>
      <x:c r="I7" s="28" t="str">
        <x:v>4 EMG channels</x:v>
      </x:c>
      <x:c r="J7" s="28" t="str">
        <x:v>No</x:v>
      </x:c>
      <x:c r="K7" s="28" t="str">
        <x:v>No</x:v>
      </x:c>
      <x:c r="L7" s="28" t="str">
        <x:v>Face video for 22</x:v>
      </x:c>
      <x:c r="M7" s="28" t="str">
        <x:v>No</x:v>
      </x:c>
      <x:c r="N7" s="28" t="str">
        <x:v>Affective rating only</x:v>
      </x:c>
      <x:c r="O7" s="28" t="str">
        <x:v>Arousal/valence/dominance/liking/familiarity</x:v>
      </x:c>
      <x:c r="P7" s="28" t="str">
        <x:v>No</x:v>
      </x:c>
      <x:c r="Q7" s="28" t="str">
        <x:v>Yes</x:v>
      </x:c>
      <x:c r="R7" s="28" t="str">
        <x:v>Synchronized physiological acquisition; original 512 Hz, preprocessed 128 Hz</x:v>
      </x:c>
      <x:c r="S7" s="28" t="str">
        <x:v>Registration</x:v>
      </x:c>
      <x:c r="T7" s="28" t="str">
        <x:v>EEG + GSR + EMG + face video, rich synchronized physiology</x:v>
      </x:c>
      <x:c r="U7" s="28" t="str">
        <x:v>No interaction, eye tracking, audio, social decision-making or deception</x:v>
      </x:c>
      <x:c r="V7" s="28" t="str">
        <x:v>Primary-source verified</x:v>
      </x:c>
      <x:c r="W7" s="28" t="str">
        <x:v>https://eecs.qmul.ac.uk/mmv/datasets/deap/doc/tac_special_issue_2011.pdf</x:v>
      </x:c>
      <x:c r="X7" s="28" t="str">
        <x:v>https://eecs.qmul.ac.uk/mmv/datasets/deap/</x:v>
      </x:c>
    </x:row>
    <x:row r="8">
      <x:c r="A8" s="28" t="n">
        <x:v>7</x:v>
      </x:c>
      <x:c r="B8" s="28" t="str">
        <x:v>RECOLA</x:v>
      </x:c>
      <x:c r="C8" s="28" t="str">
        <x:v>Dataset</x:v>
      </x:c>
      <x:c r="D8" s="28" t="str">
        <x:v>46; 23 remote dyads</x:v>
      </x:c>
      <x:c r="E8" s="28" t="str">
        <x:v>Collaborative survival-ranking task via video conference</x:v>
      </x:c>
      <x:c r="F8" s="28" t="str">
        <x:v>No</x:v>
      </x:c>
      <x:c r="G8" s="28" t="str">
        <x:v>ECG</x:v>
      </x:c>
      <x:c r="H8" s="28" t="str">
        <x:v>EDA</x:v>
      </x:c>
      <x:c r="I8" s="28" t="str">
        <x:v>No</x:v>
      </x:c>
      <x:c r="J8" s="28" t="str">
        <x:v>No</x:v>
      </x:c>
      <x:c r="K8" s="28" t="str">
        <x:v>Yes</x:v>
      </x:c>
      <x:c r="L8" s="28" t="str">
        <x:v>Yes</x:v>
      </x:c>
      <x:c r="M8" s="28" t="str">
        <x:v>Yes</x:v>
      </x:c>
      <x:c r="N8" s="28" t="str">
        <x:v>Consensus decision after individual ranking</x:v>
      </x:c>
      <x:c r="O8" s="28" t="str">
        <x:v>Self-report + continuous affect/social annotations</x:v>
      </x:c>
      <x:c r="P8" s="28" t="str">
        <x:v>No</x:v>
      </x:c>
      <x:c r="Q8" s="28" t="str">
        <x:v>Single collaborative episode</x:v>
      </x:c>
      <x:c r="R8" s="28" t="str">
        <x:v>Audio, video, ECG and EDA recorded continuously and synchronously</x:v>
      </x:c>
      <x:c r="S8" s="28" t="str">
        <x:v>Academic/public partitions</x:v>
      </x:c>
      <x:c r="T8" s="28" t="str">
        <x:v>Dyadic collaboration + consensus + synchronized physiology/audio/video</x:v>
      </x:c>
      <x:c r="U8" s="28" t="str">
        <x:v>No EEG/EMG/eye tracking; dyadic remote task; no deception/repeated voting</x:v>
      </x:c>
      <x:c r="V8" s="28" t="str">
        <x:v>Primary-source verified</x:v>
      </x:c>
      <x:c r="W8" s="28" t="str">
        <x:v>https://recola.human-ist.ch/data/emoSPACE13_RECOLA_Database.pdf</x:v>
      </x:c>
      <x:c r="X8" s="28" t="str">
        <x:v>https://recola.human-ist.ch/</x:v>
      </x:c>
    </x:row>
    <x:row r="9">
      <x:c r="A9" s="28" t="n">
        <x:v>8</x:v>
      </x:c>
      <x:c r="B9" s="28" t="str">
        <x:v>CoSuBio</x:v>
      </x:c>
      <x:c r="C9" s="28" t="str">
        <x:v>Dataset</x:v>
      </x:c>
      <x:c r="D9" s="28" t="str">
        <x:v>34; individual</x:v>
      </x:c>
      <x:c r="E9" s="28" t="str">
        <x:v>Confidence manipulation + decision questions, cognitive games and puzzles</x:v>
      </x:c>
      <x:c r="F9" s="28" t="str">
        <x:v>Single-channel EEG</x:v>
      </x:c>
      <x:c r="G9" s="28" t="str">
        <x:v>BVP</x:v>
      </x:c>
      <x:c r="H9" s="28" t="str">
        <x:v>EDA</x:v>
      </x:c>
      <x:c r="I9" s="28" t="str">
        <x:v>No</x:v>
      </x:c>
      <x:c r="J9" s="28" t="str">
        <x:v>No</x:v>
      </x:c>
      <x:c r="K9" s="28" t="str">
        <x:v>No</x:v>
      </x:c>
      <x:c r="L9" s="28" t="str">
        <x:v>Limited facial video (2 participants)</x:v>
      </x:c>
      <x:c r="M9" s="28" t="str">
        <x:v>No</x:v>
      </x:c>
      <x:c r="N9" s="28" t="str">
        <x:v>Yes</x:v>
      </x:c>
      <x:c r="O9" s="28" t="str">
        <x:v>Explicit self-confidence ratings</x:v>
      </x:c>
      <x:c r="P9" s="28" t="str">
        <x:v>No</x:v>
      </x:c>
      <x:c r="Q9" s="28" t="str">
        <x:v>Three within-subject confidence phases</x:v>
      </x:c>
      <x:c r="R9" s="28" t="str">
        <x:v>Shared timestamps, subject IDs and phase labels</x:v>
      </x:c>
      <x:c r="S9" s="28" t="str">
        <x:v>Public (Mendeley Data)</x:v>
      </x:c>
      <x:c r="T9" s="28" t="str">
        <x:v>Best confidence-specific physiology comparator</x:v>
      </x:c>
      <x:c r="U9" s="28" t="str">
        <x:v>No social interaction/group decision/deception; no ECG/EMG/eye/audio; EEG is low-rate single-channel</x:v>
      </x:c>
      <x:c r="V9" s="28" t="str">
        <x:v>Primary-source verified</x:v>
      </x:c>
      <x:c r="W9" s="28" t="str">
        <x:v>https://pmc.ncbi.nlm.nih.gov/articles/PMC12955566/</x:v>
      </x:c>
      <x:c r="X9" s="28" t="str">
        <x:v>https://doi.org/10.17632/skckwr7hy6.6</x:v>
      </x:c>
    </x:row>
    <x:row r="10">
      <x:c r="A10" s="28" t="n">
        <x:v>9</x:v>
      </x:c>
      <x:c r="B10" s="28" t="str">
        <x:v>BALLADEER ADHD / A Multimodal Dataset for Neurophysiological and AI Applications</x:v>
      </x:c>
      <x:c r="C10" s="28" t="str">
        <x:v>Dataset</x:v>
      </x:c>
      <x:c r="D10" s="28" t="str">
        <x:v>Children/adolescents; individual</x:v>
      </x:c>
      <x:c r="E10" s="28" t="str">
        <x:v>Attention Slackline, Attention Robots, CogniFit and cognitive tasks</x:v>
      </x:c>
      <x:c r="F10" s="28" t="str">
        <x:v>Yes</x:v>
      </x:c>
      <x:c r="G10" s="28" t="str">
        <x:v>HR/BVP</x:v>
      </x:c>
      <x:c r="H10" s="28" t="str">
        <x:v>EDA</x:v>
      </x:c>
      <x:c r="I10" s="28" t="str">
        <x:v>No</x:v>
      </x:c>
      <x:c r="J10" s="28" t="str">
        <x:v>Yes</x:v>
      </x:c>
      <x:c r="K10" s="28" t="str">
        <x:v>No</x:v>
      </x:c>
      <x:c r="L10" s="28" t="str">
        <x:v>No</x:v>
      </x:c>
      <x:c r="M10" s="28" t="str">
        <x:v>No</x:v>
      </x:c>
      <x:c r="N10" s="28" t="str">
        <x:v>Interactive cognitive/game choices</x:v>
      </x:c>
      <x:c r="O10" s="28" t="str">
        <x:v>Performance/diagnostic metadata</x:v>
      </x:c>
      <x:c r="P10" s="28" t="str">
        <x:v>No</x:v>
      </x:c>
      <x:c r="Q10" s="28" t="str">
        <x:v>Multiple tasks/events</x:v>
      </x:c>
      <x:c r="R10" s="28" t="str">
        <x:v>Concurrent API start/stop, shared session time base and timestamped game events</x:v>
      </x:c>
      <x:c r="S10" s="28" t="str">
        <x:v>Public (Figshare)</x:v>
      </x:c>
      <x:c r="T10" s="28" t="str">
        <x:v>EEG + eye + EDA/HR + interactive task/event logging + custom acquisition backend</x:v>
      </x:c>
      <x:c r="U10" s="28" t="str">
        <x:v>Individual attention/ADHD tasks; no multi-person interaction, deception, audio/video or EMG</x:v>
      </x:c>
      <x:c r="V10" s="28" t="str">
        <x:v>Primary-source verified</x:v>
      </x:c>
      <x:c r="W10" s="28" t="str">
        <x:v>https://www.nature.com/articles/s41597-026-06758-7</x:v>
      </x:c>
      <x:c r="X10" s="28" t="str">
        <x:v>https://doi.org/10.6084/m9.figshare.28676042</x:v>
      </x:c>
    </x:row>
    <x:row r="11">
      <x:c r="A11" s="28" t="n">
        <x:v>10</x:v>
      </x:c>
      <x:c r="B11" s="28" t="str">
        <x:v>Puzzle-STAMPS</x:v>
      </x:c>
      <x:c r="C11" s="28" t="str">
        <x:v>Dataset</x:v>
      </x:c>
      <x:c r="D11" s="28" t="str">
        <x:v>143 released; mostly teams of 4</x:v>
      </x:c>
      <x:c r="E11" s="28" t="str">
        <x:v>Time-constrained cooperative puzzle-box task across 8 timed segments</x:v>
      </x:c>
      <x:c r="F11" s="28" t="str">
        <x:v>No</x:v>
      </x:c>
      <x:c r="G11" s="28" t="str">
        <x:v>ECG + respiration + SpO2 + temperature</x:v>
      </x:c>
      <x:c r="H11" s="28" t="str">
        <x:v>No reported</x:v>
      </x:c>
      <x:c r="I11" s="28" t="str">
        <x:v>No</x:v>
      </x:c>
      <x:c r="J11" s="28" t="str">
        <x:v>No</x:v>
      </x:c>
      <x:c r="K11" s="28" t="str">
        <x:v>Individual speech</x:v>
      </x:c>
      <x:c r="L11" s="28" t="str">
        <x:v>Five room cameras</x:v>
      </x:c>
      <x:c r="M11" s="28" t="str">
        <x:v>Yes</x:v>
      </x:c>
      <x:c r="N11" s="28" t="str">
        <x:v>Collaborative problem solving/team decisions</x:v>
      </x:c>
      <x:c r="O11" s="28" t="str">
        <x:v>Workload, cohesion, leadership and psychometrics</x:v>
      </x:c>
      <x:c r="P11" s="28" t="str">
        <x:v>No</x:v>
      </x:c>
      <x:c r="Q11" s="28" t="str">
        <x:v>Yes</x:v>
      </x:c>
      <x:c r="R11" s="28" t="str">
        <x:v>All released streams aligned to common puzzle-onset time=0</x:v>
      </x:c>
      <x:c r="S11" s="28" t="str">
        <x:v>Research license/public release</x:v>
      </x:c>
      <x:c r="T11" s="28" t="str">
        <x:v>Very strong multi-person physiology + speech + video + event/game-state comparator</x:v>
      </x:c>
      <x:c r="U11" s="28" t="str">
        <x:v>No EEG/GSR/EMG/eye tracking; cooperation/leadership rather than social deception and round-wise vote-confidence</x:v>
      </x:c>
      <x:c r="V11" s="28" t="str">
        <x:v>Primary-source verified</x:v>
      </x:c>
      <x:c r="W11" s="28" t="str">
        <x:v>https://puzzle-stamps.is.tue.mpg.de/index.html</x:v>
      </x:c>
      <x:c r="X11" s="28" t="str">
        <x:v>https://puzzle-stamps.is.tue.mpg.de/dataset-data.html</x:v>
      </x:c>
    </x:row>
    <x:row r="12">
      <x:c r="A12" s="28" t="n">
        <x:v>11</x:v>
      </x:c>
      <x:c r="B12" s="28" t="str">
        <x:v>Deception_data (OpenNeuro/NEMAR ds004511)</x:v>
      </x:c>
      <x:c r="C12" s="28" t="str">
        <x:v>Dataset</x:v>
      </x:c>
      <x:c r="D12" s="28" t="str">
        <x:v>45; individual task sessions</x:v>
      </x:c>
      <x:c r="E12" s="28" t="str">
        <x:v>Deception, gambling/cooperation and cognitive-control tasks</x:v>
      </x:c>
      <x:c r="F12" s="28" t="str">
        <x:v>Yes</x:v>
      </x:c>
      <x:c r="G12" s="28" t="str">
        <x:v>Keywords/aux physiology reported</x:v>
      </x:c>
      <x:c r="H12" s="28" t="str">
        <x:v>GSR keyword/auxiliary</x:v>
      </x:c>
      <x:c r="I12" s="28" t="str">
        <x:v>EMG keyword/auxiliary</x:v>
      </x:c>
      <x:c r="J12" s="28" t="str">
        <x:v>No</x:v>
      </x:c>
      <x:c r="K12" s="28" t="str">
        <x:v>No</x:v>
      </x:c>
      <x:c r="L12" s="28" t="str">
        <x:v>No</x:v>
      </x:c>
      <x:c r="M12" s="28" t="str">
        <x:v>No</x:v>
      </x:c>
      <x:c r="N12" s="28" t="str">
        <x:v>Yes</x:v>
      </x:c>
      <x:c r="O12" s="28" t="str">
        <x:v>Behavioral outcomes</x:v>
      </x:c>
      <x:c r="P12" s="28" t="str">
        <x:v>Yes</x:v>
      </x:c>
      <x:c r="Q12" s="28" t="str">
        <x:v>Multiple tasks/sessions</x:v>
      </x:c>
      <x:c r="R12" s="28" t="str">
        <x:v>BIDS-organized EEG/behavioral recordings; event structure</x:v>
      </x:c>
      <x:c r="S12" s="28" t="str">
        <x:v>Public CC0</x:v>
      </x:c>
      <x:c r="T12" s="28" t="str">
        <x:v>Deception + decision-making + EEG; peripheral physiology metadata</x:v>
      </x:c>
      <x:c r="U12" s="28" t="str">
        <x:v>No simultaneous group interaction/audio/video/eye tracking; physiology release needs channel-level confirmation</x:v>
      </x:c>
      <x:c r="V12" s="28" t="str">
        <x:v>Repository verified; physiology details need channel audit</x:v>
      </x:c>
      <x:c r="W12" s="28" t="str">
        <x:v>https://doi.org/10.82901/nemar.on004511</x:v>
      </x:c>
      <x:c r="X12" s="28" t="str">
        <x:v>https://doi.org/10.18112/openneuro.ds004511.v1.0.2</x:v>
      </x:c>
    </x:row>
    <x:row r="13">
      <x:c r="A13" s="28" t="n">
        <x:v>12</x:v>
      </x:c>
      <x:c r="B13" s="28" t="str">
        <x:v>Werewolf Among Us</x:v>
      </x:c>
      <x:c r="C13" s="28" t="str">
        <x:v>Dataset / paper</x:v>
      </x:c>
      <x:c r="D13" s="28" t="str">
        <x:v>Multi-player naturalistic game videos; 199 dialogues</x:v>
      </x:c>
      <x:c r="E13" s="28" t="str">
        <x:v>One Night Ultimate Werewolf + The Resistance: Avalon</x:v>
      </x:c>
      <x:c r="F13" s="28" t="str">
        <x:v>No</x:v>
      </x:c>
      <x:c r="G13" s="28" t="str">
        <x:v>No</x:v>
      </x:c>
      <x:c r="H13" s="28" t="str">
        <x:v>No</x:v>
      </x:c>
      <x:c r="I13" s="28" t="str">
        <x:v>No</x:v>
      </x:c>
      <x:c r="J13" s="28" t="str">
        <x:v>No</x:v>
      </x:c>
      <x:c r="K13" s="28" t="str">
        <x:v>Dialogue transcripts</x:v>
      </x:c>
      <x:c r="L13" s="28" t="str">
        <x:v>Yes</x:v>
      </x:c>
      <x:c r="M13" s="28" t="str">
        <x:v>Yes</x:v>
      </x:c>
      <x:c r="N13" s="28" t="str">
        <x:v>Yes; voting outcomes captured</x:v>
      </x:c>
      <x:c r="O13" s="28" t="str">
        <x:v>Persuasion-strategy annotations</x:v>
      </x:c>
      <x:c r="P13" s="28" t="str">
        <x:v>Yes / social deduction</x:v>
      </x:c>
      <x:c r="Q13" s="28" t="str">
        <x:v>Yes at game/utterance level</x:v>
      </x:c>
      <x:c r="R13" s="28" t="str">
        <x:v>Video/dialogue aligned at utterance/game level; not physiological synchronization</x:v>
      </x:c>
      <x:c r="S13" s="28" t="str">
        <x:v>Public/research</x:v>
      </x:c>
      <x:c r="T13" s="28" t="str">
        <x:v>Closest social-deduction + multimodal behavioral + voting comparator</x:v>
      </x:c>
      <x:c r="U13" s="28" t="str">
        <x:v>No physiological/neural sensing; source videos rather than controlled synchronized biosignal acquisition</x:v>
      </x:c>
      <x:c r="V13" s="28" t="str">
        <x:v>Primary-source verified</x:v>
      </x:c>
      <x:c r="W13" s="28" t="str">
        <x:v>https://aclanthology.org/2023.findings-acl.411/</x:v>
      </x:c>
      <x:c r="X13" s="28" t="str">
        <x:v>https://github.com/SALT-NLP/PersuationGames</x:v>
      </x:c>
    </x:row>
    <x:row r="14">
      <x:c r="A14" s="28" t="n">
        <x:v>13</x:v>
      </x:c>
      <x:c r="B14" s="28" t="str">
        <x:v>Stasser &amp; Titus hidden-profile paradigm</x:v>
      </x:c>
      <x:c r="C14" s="28" t="str">
        <x:v>Foundational experiment</x:v>
      </x:c>
      <x:c r="D14" s="28" t="str">
        <x:v>4-member groups; 156 participants across conditions</x:v>
      </x:c>
      <x:c r="E14" s="28" t="str">
        <x:v>Political-caucus candidate selection with shared/unshared information</x:v>
      </x:c>
      <x:c r="F14" s="28" t="str">
        <x:v>No</x:v>
      </x:c>
      <x:c r="G14" s="28" t="str">
        <x:v>No</x:v>
      </x:c>
      <x:c r="H14" s="28" t="str">
        <x:v>No</x:v>
      </x:c>
      <x:c r="I14" s="28" t="str">
        <x:v>No</x:v>
      </x:c>
      <x:c r="J14" s="28" t="str">
        <x:v>No</x:v>
      </x:c>
      <x:c r="K14" s="28" t="str">
        <x:v>Discussion behavior</x:v>
      </x:c>
      <x:c r="L14" s="28" t="str">
        <x:v>No</x:v>
      </x:c>
      <x:c r="M14" s="28" t="str">
        <x:v>Yes</x:v>
      </x:c>
      <x:c r="N14" s="28" t="str">
        <x:v>Yes; group selection</x:v>
      </x:c>
      <x:c r="O14" s="28" t="str">
        <x:v>Pre/post discussion preferences/recall</x:v>
      </x:c>
      <x:c r="P14" s="28" t="str">
        <x:v>No</x:v>
      </x:c>
      <x:c r="Q14" s="28" t="str">
        <x:v>Single decision per experimental group</x:v>
      </x:c>
      <x:c r="R14" s="28" t="str">
        <x:v>Behavioral experimental timing; no multimodal sync</x:v>
      </x:c>
      <x:c r="S14" s="28" t="str">
        <x:v>No public dataset known</x:v>
      </x:c>
      <x:c r="T14" s="28" t="str">
        <x:v>Foundational model for information pooling and hidden-profile group decisions</x:v>
      </x:c>
      <x:c r="U14" s="28" t="str">
        <x:v>No physiological sensing, repeated rounds, deception role or confidence ratings</x:v>
      </x:c>
      <x:c r="V14" s="28" t="str">
        <x:v>Primary-source verified</x:v>
      </x:c>
      <x:c r="W14" s="28" t="str">
        <x:v>https://doi.org/10.1037/0022-3514.48.6.1467</x:v>
      </x:c>
      <x:c r="X14" s="28"/>
    </x:row>
    <x:row r="15">
      <x:c r="A15" s="28" t="n">
        <x:v>14</x:v>
      </x:c>
      <x:c r="B15" s="28" t="str">
        <x:v>Optimally Interacting Minds</x:v>
      </x:c>
      <x:c r="C15" s="28" t="str">
        <x:v>Foundational experiment</x:v>
      </x:c>
      <x:c r="D15" s="28" t="str">
        <x:v>Dyads</x:v>
      </x:c>
      <x:c r="E15" s="28" t="str">
        <x:v>Joint perceptual decision-making with confidence communication</x:v>
      </x:c>
      <x:c r="F15" s="28" t="str">
        <x:v>No</x:v>
      </x:c>
      <x:c r="G15" s="28" t="str">
        <x:v>No</x:v>
      </x:c>
      <x:c r="H15" s="28" t="str">
        <x:v>No</x:v>
      </x:c>
      <x:c r="I15" s="28" t="str">
        <x:v>No</x:v>
      </x:c>
      <x:c r="J15" s="28" t="str">
        <x:v>No</x:v>
      </x:c>
      <x:c r="K15" s="28" t="str">
        <x:v>Verbal confidence communication</x:v>
      </x:c>
      <x:c r="L15" s="28" t="str">
        <x:v>No</x:v>
      </x:c>
      <x:c r="M15" s="28" t="str">
        <x:v>Yes</x:v>
      </x:c>
      <x:c r="N15" s="28" t="str">
        <x:v>Yes</x:v>
      </x:c>
      <x:c r="O15" s="28" t="str">
        <x:v>Confidence is central to collective decision rule</x:v>
      </x:c>
      <x:c r="P15" s="28" t="str">
        <x:v>No</x:v>
      </x:c>
      <x:c r="Q15" s="28" t="str">
        <x:v>Repeated perceptual trials</x:v>
      </x:c>
      <x:c r="R15" s="28" t="str">
        <x:v>Behavioral trial synchronization</x:v>
      </x:c>
      <x:c r="S15" s="28" t="str">
        <x:v>No public dataset known</x:v>
      </x:c>
      <x:c r="T15" s="28" t="str">
        <x:v>Core evidence that confidence sharing shapes collective decisions</x:v>
      </x:c>
      <x:c r="U15" s="28" t="str">
        <x:v>No physiology or multi-person group; perceptual dyads rather than social deduction</x:v>
      </x:c>
      <x:c r="V15" s="28" t="str">
        <x:v>Primary-source verified</x:v>
      </x:c>
      <x:c r="W15" s="28" t="str">
        <x:v>https://pmc.ncbi.nlm.nih.gov/articles/PMC3371582/</x:v>
      </x:c>
      <x:c r="X15" s="28"/>
    </x:row>
    <x:row r="16">
      <x:c r="A16" s="28" t="n">
        <x:v>15</x:v>
      </x:c>
      <x:c r="B16" s="28" t="str">
        <x:v>King-Casas et al. multiround Trust Game</x:v>
      </x:c>
      <x:c r="C16" s="28" t="str">
        <x:v>Experimental study</x:v>
      </x:c>
      <x:c r="D16" s="28" t="str">
        <x:v>Dyadic economic exchange</x:v>
      </x:c>
      <x:c r="E16" s="28" t="str">
        <x:v>Multiround trust/reciprocity game</x:v>
      </x:c>
      <x:c r="F16" s="28" t="str">
        <x:v>No</x:v>
      </x:c>
      <x:c r="G16" s="28" t="str">
        <x:v>No</x:v>
      </x:c>
      <x:c r="H16" s="28" t="str">
        <x:v>No</x:v>
      </x:c>
      <x:c r="I16" s="28" t="str">
        <x:v>No</x:v>
      </x:c>
      <x:c r="J16" s="28" t="str">
        <x:v>No</x:v>
      </x:c>
      <x:c r="K16" s="28" t="str">
        <x:v>No</x:v>
      </x:c>
      <x:c r="L16" s="28" t="str">
        <x:v>No</x:v>
      </x:c>
      <x:c r="M16" s="28" t="str">
        <x:v>Yes</x:v>
      </x:c>
      <x:c r="N16" s="28" t="str">
        <x:v>Yes</x:v>
      </x:c>
      <x:c r="O16" s="28" t="str">
        <x:v>Behavioral trust/reciprocity; no explicit confidence</x:v>
      </x:c>
      <x:c r="P16" s="28" t="str">
        <x:v>Strategic trust, not deception label</x:v>
      </x:c>
      <x:c r="Q16" s="28" t="str">
        <x:v>Yes</x:v>
      </x:c>
      <x:c r="R16" s="28" t="str">
        <x:v>Round-based behavioral/fMRI timing</x:v>
      </x:c>
      <x:c r="S16" s="28" t="str">
        <x:v>No public dataset established</x:v>
      </x:c>
      <x:c r="T16" s="28" t="str">
        <x:v>Repeated interpersonal decisions with belief/reputation updating</x:v>
      </x:c>
      <x:c r="U16" s="28" t="str">
        <x:v>fMRI rather than wearable multimodal physiology; dyad, no audio/video discussion</x:v>
      </x:c>
      <x:c r="V16" s="28" t="str">
        <x:v>Primary-source verified</x:v>
      </x:c>
      <x:c r="W16" s="28" t="str">
        <x:v>https://pubmed.ncbi.nlm.nih.gov/15802598/</x:v>
      </x:c>
      <x:c r="X16" s="28"/>
    </x:row>
    <x:row r="17">
      <x:c r="A17" s="28" t="n">
        <x:v>16</x:v>
      </x:c>
      <x:c r="B17" s="28" t="str">
        <x:v>Sanfey et al. Ultimatum Game</x:v>
      </x:c>
      <x:c r="C17" s="28" t="str">
        <x:v>Experimental study</x:v>
      </x:c>
      <x:c r="D17" s="28" t="str">
        <x:v>Responder interacting with proposer offers</x:v>
      </x:c>
      <x:c r="E17" s="28" t="str">
        <x:v>Accept/reject fair and unfair monetary offers</x:v>
      </x:c>
      <x:c r="F17" s="28" t="str">
        <x:v>No</x:v>
      </x:c>
      <x:c r="G17" s="28" t="str">
        <x:v>No</x:v>
      </x:c>
      <x:c r="H17" s="28" t="str">
        <x:v>No</x:v>
      </x:c>
      <x:c r="I17" s="28" t="str">
        <x:v>No</x:v>
      </x:c>
      <x:c r="J17" s="28" t="str">
        <x:v>No</x:v>
      </x:c>
      <x:c r="K17" s="28" t="str">
        <x:v>No</x:v>
      </x:c>
      <x:c r="L17" s="28" t="str">
        <x:v>No</x:v>
      </x:c>
      <x:c r="M17" s="28" t="str">
        <x:v>Social but not live conversational interaction</x:v>
      </x:c>
      <x:c r="N17" s="28" t="str">
        <x:v>Yes</x:v>
      </x:c>
      <x:c r="O17" s="28" t="str">
        <x:v>No explicit confidence</x:v>
      </x:c>
      <x:c r="P17" s="28" t="str">
        <x:v>No</x:v>
      </x:c>
      <x:c r="Q17" s="28" t="str">
        <x:v>Repeated offers/trials</x:v>
      </x:c>
      <x:c r="R17" s="28" t="str">
        <x:v>Event-related fMRI task timing</x:v>
      </x:c>
      <x:c r="S17" s="28" t="str">
        <x:v>No public dataset established</x:v>
      </x:c>
      <x:c r="T17" s="28" t="str">
        <x:v>Canonical social conflict/fairness decision paradigm</x:v>
      </x:c>
      <x:c r="U17" s="28" t="str">
        <x:v>No physiological multimodality, group conversation, deception or confidence</x:v>
      </x:c>
      <x:c r="V17" s="28" t="str">
        <x:v>Primary-source verified</x:v>
      </x:c>
      <x:c r="W17" s="28" t="str">
        <x:v>https://pubmed.ncbi.nlm.nih.gov/12805551/</x:v>
      </x:c>
      <x:c r="X17" s="28"/>
    </x:row>
    <x:row r="18">
      <x:c r="A18" s="28" t="n">
        <x:v>17</x:v>
      </x:c>
      <x:c r="B18" s="28" t="str">
        <x:v>Dumas et al. Inter-Brain Synchronization during Social Interaction</x:v>
      </x:c>
      <x:c r="C18" s="28" t="str">
        <x:v>Experimental study</x:v>
      </x:c>
      <x:c r="D18" s="28" t="str">
        <x:v>18; 9 dyads</x:v>
      </x:c>
      <x:c r="E18" s="28" t="str">
        <x:v>Spontaneous hand-movement imitation with turn-taking</x:v>
      </x:c>
      <x:c r="F18" s="28" t="str">
        <x:v>Dual EEG</x:v>
      </x:c>
      <x:c r="G18" s="28" t="str">
        <x:v>No</x:v>
      </x:c>
      <x:c r="H18" s="28" t="str">
        <x:v>No</x:v>
      </x:c>
      <x:c r="I18" s="28" t="str">
        <x:v>No</x:v>
      </x:c>
      <x:c r="J18" s="28" t="str">
        <x:v>No</x:v>
      </x:c>
      <x:c r="K18" s="28" t="str">
        <x:v>No</x:v>
      </x:c>
      <x:c r="L18" s="28" t="str">
        <x:v>Dual video</x:v>
      </x:c>
      <x:c r="M18" s="28" t="str">
        <x:v>Yes</x:v>
      </x:c>
      <x:c r="N18" s="28" t="str">
        <x:v>No explicit decision task</x:v>
      </x:c>
      <x:c r="O18" s="28" t="str">
        <x:v>No</x:v>
      </x:c>
      <x:c r="P18" s="28" t="str">
        <x:v>No</x:v>
      </x:c>
      <x:c r="Q18" s="28" t="str">
        <x:v>Continuous turn-taking interaction</x:v>
      </x:c>
      <x:c r="R18" s="28" t="str">
        <x:v>Dual EEG + dual-video simultaneous setup</x:v>
      </x:c>
      <x:c r="S18" s="28" t="str">
        <x:v>Article open; dataset not established</x:v>
      </x:c>
      <x:c r="T18" s="28" t="str">
        <x:v>EEG hyperscanning + natural reciprocal interaction</x:v>
      </x:c>
      <x:c r="U18" s="28" t="str">
        <x:v>No decision/vote/confidence/deception or peripheral physiology</x:v>
      </x:c>
      <x:c r="V18" s="28" t="str">
        <x:v>Primary-source verified</x:v>
      </x:c>
      <x:c r="W18" s="28" t="str">
        <x:v>https://journals.plos.org/plosone/article?id=10.1371/journal.pone.0012166</x:v>
      </x:c>
      <x:c r="X18" s="28"/>
    </x:row>
    <x:row r="19">
      <x:c r="A19" s="28" t="n">
        <x:v>18</x:v>
      </x:c>
      <x:c r="B19" s="28" t="str">
        <x:v>Cui, Bryant &amp; Reiss — NIRS hyperscanning during cooperation</x:v>
      </x:c>
      <x:c r="C19" s="28" t="str">
        <x:v>Experimental study</x:v>
      </x:c>
      <x:c r="D19" s="28" t="str">
        <x:v>Dyads</x:v>
      </x:c>
      <x:c r="E19" s="28" t="str">
        <x:v>Cooperative task with simultaneous fNIRS</x:v>
      </x:c>
      <x:c r="F19" s="28" t="str">
        <x:v>No (fNIRS)</x:v>
      </x:c>
      <x:c r="G19" s="28" t="str">
        <x:v>No</x:v>
      </x:c>
      <x:c r="H19" s="28" t="str">
        <x:v>No</x:v>
      </x:c>
      <x:c r="I19" s="28" t="str">
        <x:v>No</x:v>
      </x:c>
      <x:c r="J19" s="28" t="str">
        <x:v>No</x:v>
      </x:c>
      <x:c r="K19" s="28" t="str">
        <x:v>No</x:v>
      </x:c>
      <x:c r="L19" s="28" t="str">
        <x:v>No</x:v>
      </x:c>
      <x:c r="M19" s="28" t="str">
        <x:v>Yes</x:v>
      </x:c>
      <x:c r="N19" s="28" t="str">
        <x:v>Cooperative task decisions/actions</x:v>
      </x:c>
      <x:c r="O19" s="28" t="str">
        <x:v>No</x:v>
      </x:c>
      <x:c r="P19" s="28" t="str">
        <x:v>No</x:v>
      </x:c>
      <x:c r="Q19" s="28" t="str">
        <x:v>Repeated cooperative trials</x:v>
      </x:c>
      <x:c r="R19" s="28" t="str">
        <x:v>Simultaneous two-person fNIRS hyperscanning</x:v>
      </x:c>
      <x:c r="S19" s="28" t="str">
        <x:v>No public dataset established</x:v>
      </x:c>
      <x:c r="T19" s="28" t="str">
        <x:v>Interpersonal neural synchrony during cooperation</x:v>
      </x:c>
      <x:c r="U19" s="28" t="str">
        <x:v>Different neural modality; no ARL physiology/audio/video/eye; not social deduction</x:v>
      </x:c>
      <x:c r="V19" s="28" t="str">
        <x:v>Source verified</x:v>
      </x:c>
      <x:c r="W19" s="28" t="str">
        <x:v>https://doi.org/10.1016/j.neuroimage.2011.09.003</x:v>
      </x:c>
      <x:c r="X19" s="28"/>
    </x:row>
    <x:row r="20">
      <x:c r="A20" s="28" t="n">
        <x:v>19</x:v>
      </x:c>
      <x:c r="B20" s="28" t="str">
        <x:v>Jiang et al. Neural Synchronization during Face-to-Face Communication</x:v>
      </x:c>
      <x:c r="C20" s="28" t="str">
        <x:v>Experimental study</x:v>
      </x:c>
      <x:c r="D20" s="28" t="str">
        <x:v>Dyads</x:v>
      </x:c>
      <x:c r="E20" s="28" t="str">
        <x:v>Face-to-face vs back-to-back dialogue/monologue</x:v>
      </x:c>
      <x:c r="F20" s="28" t="str">
        <x:v>No (fNIRS)</x:v>
      </x:c>
      <x:c r="G20" s="28" t="str">
        <x:v>No</x:v>
      </x:c>
      <x:c r="H20" s="28" t="str">
        <x:v>No</x:v>
      </x:c>
      <x:c r="I20" s="28" t="str">
        <x:v>No</x:v>
      </x:c>
      <x:c r="J20" s="28" t="str">
        <x:v>No</x:v>
      </x:c>
      <x:c r="K20" s="28" t="str">
        <x:v>Speech/dialogue</x:v>
      </x:c>
      <x:c r="L20" s="28" t="str">
        <x:v>No reported as dataset</x:v>
      </x:c>
      <x:c r="M20" s="28" t="str">
        <x:v>Yes</x:v>
      </x:c>
      <x:c r="N20" s="28" t="str">
        <x:v>No explicit decision</x:v>
      </x:c>
      <x:c r="O20" s="28" t="str">
        <x:v>No</x:v>
      </x:c>
      <x:c r="P20" s="28" t="str">
        <x:v>No</x:v>
      </x:c>
      <x:c r="Q20" s="28" t="str">
        <x:v>Condition-based dialogue</x:v>
      </x:c>
      <x:c r="R20" s="28" t="str">
        <x:v>Simultaneous hyperscanning</x:v>
      </x:c>
      <x:c r="S20" s="28" t="str">
        <x:v>No public dataset established</x:v>
      </x:c>
      <x:c r="T20" s="28" t="str">
        <x:v>Natural face-to-face communication + inter-brain synchronization</x:v>
      </x:c>
      <x:c r="U20" s="28" t="str">
        <x:v>No decision/voting/deception and no multimodal physiology</x:v>
      </x:c>
      <x:c r="V20" s="28" t="str">
        <x:v>Primary-source verified</x:v>
      </x:c>
      <x:c r="W20" s="28" t="str">
        <x:v>https://pure.mpg.de/rest/items/item_1837863_1/component/file_1837862/content</x:v>
      </x:c>
      <x:c r="X20" s="28"/>
    </x:row>
    <x:row r="21">
      <x:c r="A21" s="28" t="n">
        <x:v>20</x:v>
      </x:c>
      <x:c r="B21" s="28" t="str">
        <x:v>De Vico Fallani et al. — Iterated Prisoner's Dilemma EEG hyperscanning</x:v>
      </x:c>
      <x:c r="C21" s="28" t="str">
        <x:v>Experimental study</x:v>
      </x:c>
      <x:c r="D21" s="28" t="str">
        <x:v>52; 26 dyads</x:v>
      </x:c>
      <x:c r="E21" s="28" t="str">
        <x:v>≥200 rounds of cooperate/defect decisions</x:v>
      </x:c>
      <x:c r="F21" s="28" t="str">
        <x:v>Dual 64-ch EEG, 200 Hz</x:v>
      </x:c>
      <x:c r="G21" s="28" t="str">
        <x:v>No</x:v>
      </x:c>
      <x:c r="H21" s="28" t="str">
        <x:v>No</x:v>
      </x:c>
      <x:c r="I21" s="28" t="str">
        <x:v>No</x:v>
      </x:c>
      <x:c r="J21" s="28" t="str">
        <x:v>No</x:v>
      </x:c>
      <x:c r="K21" s="28" t="str">
        <x:v>No</x:v>
      </x:c>
      <x:c r="L21" s="28" t="str">
        <x:v>No</x:v>
      </x:c>
      <x:c r="M21" s="28" t="str">
        <x:v>Yes</x:v>
      </x:c>
      <x:c r="N21" s="28" t="str">
        <x:v>Yes</x:v>
      </x:c>
      <x:c r="O21" s="28" t="str">
        <x:v>No explicit confidence</x:v>
      </x:c>
      <x:c r="P21" s="28" t="str">
        <x:v>Strategic defection</x:v>
      </x:c>
      <x:c r="Q21" s="28" t="str">
        <x:v>Yes, highly repeated</x:v>
      </x:c>
      <x:c r="R21" s="28" t="str">
        <x:v>Two simultaneous EEG systems; trial outcomes/event timing stored</x:v>
      </x:c>
      <x:c r="S21" s="28" t="str">
        <x:v>Article open; dataset not established</x:v>
      </x:c>
      <x:c r="T21" s="28" t="str">
        <x:v>Very strong repeated social-decision + EEG hyperscanning comparator</x:v>
      </x:c>
      <x:c r="U21" s="28" t="str">
        <x:v>Dyads only; no peripheral physiology/eye/audio/video; no confidence or hidden-role social deduction</x:v>
      </x:c>
      <x:c r="V21" s="28" t="str">
        <x:v>Primary-source verified</x:v>
      </x:c>
      <x:c r="W21" s="28" t="str">
        <x:v>https://journals.plos.org/plosone/article?id=10.1371/journal.pone.0014187</x:v>
      </x:c>
      <x:c r="X21" s="28"/>
    </x:row>
    <x:row r="22">
      <x:c r="A22" s="28" t="n">
        <x:v>21</x:v>
      </x:c>
      <x:c r="B22" s="28" t="str">
        <x:v>Electrophysiological Hyperscanning of Negotiation During Group-Oriented Decision-Making</x:v>
      </x:c>
      <x:c r="C22" s="28" t="str">
        <x:v>Experimental study</x:v>
      </x:c>
      <x:c r="D22" s="28" t="str">
        <x:v>26; 13 dyads</x:v>
      </x:c>
      <x:c r="E22" s="28" t="str">
        <x:v>3-min negotiation toward shared group-oriented decision</x:v>
      </x:c>
      <x:c r="F22" s="28" t="str">
        <x:v>EEG hyperscanning</x:v>
      </x:c>
      <x:c r="G22" s="28" t="str">
        <x:v>No</x:v>
      </x:c>
      <x:c r="H22" s="28" t="str">
        <x:v>No</x:v>
      </x:c>
      <x:c r="I22" s="28" t="str">
        <x:v>No</x:v>
      </x:c>
      <x:c r="J22" s="28" t="str">
        <x:v>No</x:v>
      </x:c>
      <x:c r="K22" s="28" t="str">
        <x:v>Conversation</x:v>
      </x:c>
      <x:c r="L22" s="28" t="str">
        <x:v>No</x:v>
      </x:c>
      <x:c r="M22" s="28" t="str">
        <x:v>Yes</x:v>
      </x:c>
      <x:c r="N22" s="28" t="str">
        <x:v>Yes</x:v>
      </x:c>
      <x:c r="O22" s="28" t="str">
        <x:v>Group-orientation Likert measure</x:v>
      </x:c>
      <x:c r="P22" s="28" t="str">
        <x:v>No</x:v>
      </x:c>
      <x:c r="Q22" s="28" t="str">
        <x:v>Single negotiation episode</x:v>
      </x:c>
      <x:c r="R22" s="28" t="str">
        <x:v>Simultaneous EEG hyperscanning</x:v>
      </x:c>
      <x:c r="S22" s="28" t="str">
        <x:v>Open article</x:v>
      </x:c>
      <x:c r="T22" s="28" t="str">
        <x:v>EEG + live negotiation + shared decision</x:v>
      </x:c>
      <x:c r="U22" s="28" t="str">
        <x:v>Dyads; EEG-only sensing; no repeated rounds, confidence, deception or behavioral AV capture</x:v>
      </x:c>
      <x:c r="V22" s="28" t="str">
        <x:v>Primary-source verified</x:v>
      </x:c>
      <x:c r="W22" s="28" t="str">
        <x:v>https://doi.org/10.3390/app15116073</x:v>
      </x:c>
      <x:c r="X22" s="28"/>
    </x:row>
    <x:row r="23">
      <x:c r="A23" s="28" t="n">
        <x:v>22</x:v>
      </x:c>
      <x:c r="B23" s="28" t="str">
        <x:v>Ideal Versus Real Group Mental Representations During Communicative Exchange</x:v>
      </x:c>
      <x:c r="C23" s="28" t="str">
        <x:v>Experimental study</x:v>
      </x:c>
      <x:c r="D23" s="28" t="str">
        <x:v>28; 14 dyads</x:v>
      </x:c>
      <x:c r="E23" s="28" t="str">
        <x:v>Discuss group decisions under ideal vs real group representation</x:v>
      </x:c>
      <x:c r="F23" s="28" t="str">
        <x:v>EEG</x:v>
      </x:c>
      <x:c r="G23" s="28" t="str">
        <x:v>HRV + biofeedback</x:v>
      </x:c>
      <x:c r="H23" s="28" t="str">
        <x:v>No reported</x:v>
      </x:c>
      <x:c r="I23" s="28" t="str">
        <x:v>No</x:v>
      </x:c>
      <x:c r="J23" s="28" t="str">
        <x:v>No</x:v>
      </x:c>
      <x:c r="K23" s="28" t="str">
        <x:v>Conversation</x:v>
      </x:c>
      <x:c r="L23" s="28" t="str">
        <x:v>No</x:v>
      </x:c>
      <x:c r="M23" s="28" t="str">
        <x:v>Yes</x:v>
      </x:c>
      <x:c r="N23" s="28" t="str">
        <x:v>Yes</x:v>
      </x:c>
      <x:c r="O23" s="28" t="str">
        <x:v>Self-representation/condition measures</x:v>
      </x:c>
      <x:c r="P23" s="28" t="str">
        <x:v>No</x:v>
      </x:c>
      <x:c r="Q23" s="28" t="str">
        <x:v>Two phases</x:v>
      </x:c>
      <x:c r="R23" s="28" t="str">
        <x:v>EEG + fNIRS + autonomic hyperscanning</x:v>
      </x:c>
      <x:c r="S23" s="28" t="str">
        <x:v>Article source verified</x:v>
      </x:c>
      <x:c r="T23" s="28" t="str">
        <x:v>Neural + autonomic dyadic decision communication</x:v>
      </x:c>
      <x:c r="U23" s="28" t="str">
        <x:v>Dyad and no broad sensor stack/eye/audio-video release/deception/repeated vote-confidence structure</x:v>
      </x:c>
      <x:c r="V23" s="28" t="str">
        <x:v>Primary-source verified</x:v>
      </x:c>
      <x:c r="W23" s="28" t="str">
        <x:v>https://pubmed.ncbi.nlm.nih.gov/41711421/</x:v>
      </x:c>
      <x:c r="X23" s="28"/>
    </x:row>
    <x:row r="24">
      <x:c r="A24" s="28" t="n">
        <x:v>23</x:v>
      </x:c>
      <x:c r="B24" s="28" t="str">
        <x:v>Mønster et al. Physiological evidence of interpersonal dynamics</x:v>
      </x:c>
      <x:c r="C24" s="28" t="str">
        <x:v>Experimental study</x:v>
      </x:c>
      <x:c r="D24" s="28" t="str">
        <x:v>153; teams of 3</x:v>
      </x:c>
      <x:c r="E24" s="28" t="str">
        <x:v>Origami-boat cooperative production across five 4-min periods</x:v>
      </x:c>
      <x:c r="F24" s="28" t="str">
        <x:v>No</x:v>
      </x:c>
      <x:c r="G24" s="28" t="str">
        <x:v>Heart rate</x:v>
      </x:c>
      <x:c r="H24" s="28" t="str">
        <x:v>Skin conductance</x:v>
      </x:c>
      <x:c r="I24" s="28" t="str">
        <x:v>Corrugator facial EMG</x:v>
      </x:c>
      <x:c r="J24" s="28" t="str">
        <x:v>No</x:v>
      </x:c>
      <x:c r="K24" s="28" t="str">
        <x:v>Behavioral interaction</x:v>
      </x:c>
      <x:c r="L24" s="28" t="str">
        <x:v>Facial behavior/smiling measures</x:v>
      </x:c>
      <x:c r="M24" s="28" t="str">
        <x:v>Yes</x:v>
      </x:c>
      <x:c r="N24" s="28" t="str">
        <x:v>Team routine-adoption decision</x:v>
      </x:c>
      <x:c r="O24" s="28" t="str">
        <x:v>Cohesion/affect measures</x:v>
      </x:c>
      <x:c r="P24" s="28" t="str">
        <x:v>No</x:v>
      </x:c>
      <x:c r="Q24" s="28" t="str">
        <x:v>Yes, five production periods</x:v>
      </x:c>
      <x:c r="R24" s="28" t="str">
        <x:v>Concurrent team physiological recordings; synchrony analysis</x:v>
      </x:c>
      <x:c r="S24" s="28" t="str">
        <x:v>Data availability not established</x:v>
      </x:c>
      <x:c r="T24" s="28" t="str">
        <x:v>3-person simultaneous physiology including EDA + facial EMG + team decision/change</x:v>
      </x:c>
      <x:c r="U24" s="28" t="str">
        <x:v>No EEG/eye tracking/audio; production task rather than social inference/deception</x:v>
      </x:c>
      <x:c r="V24" s="28" t="str">
        <x:v>Primary-source verified</x:v>
      </x:c>
      <x:c r="W24" s="28" t="str">
        <x:v>https://doi.org/10.1016/j.physbeh.2016.01.004</x:v>
      </x:c>
      <x:c r="X24" s="28"/>
    </x:row>
    <x:row r="25">
      <x:c r="A25" s="28" t="n">
        <x:v>24</x:v>
      </x:c>
      <x:c r="B25" s="28" t="str">
        <x:v>Algumaei et al. Three-Member Collaborative Tank Battle</x:v>
      </x:c>
      <x:c r="C25" s="28" t="str">
        <x:v>Experimental study</x:v>
      </x:c>
      <x:c r="D25" s="28" t="str">
        <x:v>Three-member teams</x:v>
      </x:c>
      <x:c r="E25" s="28" t="str">
        <x:v>Collaborative computer-based Tank Battle task</x:v>
      </x:c>
      <x:c r="F25" s="28" t="str">
        <x:v>No</x:v>
      </x:c>
      <x:c r="G25" s="28" t="str">
        <x:v>Polar H10 IBI/HRV</x:v>
      </x:c>
      <x:c r="H25" s="28" t="str">
        <x:v>No</x:v>
      </x:c>
      <x:c r="I25" s="28" t="str">
        <x:v>No</x:v>
      </x:c>
      <x:c r="J25" s="28" t="str">
        <x:v>No</x:v>
      </x:c>
      <x:c r="K25" s="28" t="str">
        <x:v>Role communication inherent in task</x:v>
      </x:c>
      <x:c r="L25" s="28" t="str">
        <x:v>No</x:v>
      </x:c>
      <x:c r="M25" s="28" t="str">
        <x:v>Yes</x:v>
      </x:c>
      <x:c r="N25" s="28" t="str">
        <x:v>Team operational decisions/actions</x:v>
      </x:c>
      <x:c r="O25" s="28" t="str">
        <x:v>NASA-TLX incl. frustration</x:v>
      </x:c>
      <x:c r="P25" s="28" t="str">
        <x:v>No</x:v>
      </x:c>
      <x:c r="Q25" s="28" t="str">
        <x:v>Multiple trials</x:v>
      </x:c>
      <x:c r="R25" s="28" t="str">
        <x:v>Custom app starts/stops 3 Polar H10 streams; trial start/end used for synchronization</x:v>
      </x:c>
      <x:c r="S25" s="28" t="str">
        <x:v>Available on reasonable request</x:v>
      </x:c>
      <x:c r="T25" s="28" t="str">
        <x:v>Three-person collaborative task + synchronized physiology + performance</x:v>
      </x:c>
      <x:c r="U25" s="28" t="str">
        <x:v>Only cardiac physiology; no EEG/GSR/EMG/eye/AV; no deception/confidence voting</x:v>
      </x:c>
      <x:c r="V25" s="28" t="str">
        <x:v>Primary-source verified</x:v>
      </x:c>
      <x:c r="W25" s="28" t="str">
        <x:v>https://pmc.ncbi.nlm.nih.gov/articles/PMC9960820/</x:v>
      </x:c>
      <x:c r="X25" s="28"/>
    </x:row>
    <x:row r="26">
      <x:c r="A26" s="28" t="n">
        <x:v>25</x:v>
      </x:c>
      <x:c r="B26" s="28" t="str">
        <x:v>CASE</x:v>
      </x:c>
      <x:c r="C26" s="28" t="str">
        <x:v>Dataset</x:v>
      </x:c>
      <x:c r="D26" s="28" t="str">
        <x:v>30; individual</x:v>
      </x:c>
      <x:c r="E26" s="28" t="str">
        <x:v>Emotion-video viewing with continuous joystick annotation</x:v>
      </x:c>
      <x:c r="F26" s="28" t="str">
        <x:v>No</x:v>
      </x:c>
      <x:c r="G26" s="28" t="str">
        <x:v>ECG + BVP</x:v>
      </x:c>
      <x:c r="H26" s="28" t="str">
        <x:v>GSR</x:v>
      </x:c>
      <x:c r="I26" s="28" t="str">
        <x:v>3 EMG channels</x:v>
      </x:c>
      <x:c r="J26" s="28" t="str">
        <x:v>No</x:v>
      </x:c>
      <x:c r="K26" s="28" t="str">
        <x:v>No</x:v>
      </x:c>
      <x:c r="L26" s="28" t="str">
        <x:v>No</x:v>
      </x:c>
      <x:c r="M26" s="28" t="str">
        <x:v>No</x:v>
      </x:c>
      <x:c r="N26" s="28" t="str">
        <x:v>No</x:v>
      </x:c>
      <x:c r="O26" s="28" t="str">
        <x:v>Continuous valence/arousal</x:v>
      </x:c>
      <x:c r="P26" s="28" t="str">
        <x:v>No</x:v>
      </x:c>
      <x:c r="Q26" s="28" t="str">
        <x:v>Repeated video stimuli</x:v>
      </x:c>
      <x:c r="R26" s="28" t="str">
        <x:v>Eight physiological channels synchronized at 1000 Hz with continuous annotation</x:v>
      </x:c>
      <x:c r="S26" s="28" t="str">
        <x:v>Public</x:v>
      </x:c>
      <x:c r="T26" s="28" t="str">
        <x:v>High-quality ECG+GSR+EMG synchronization and continuous behavioral annotation</x:v>
      </x:c>
      <x:c r="U26" s="28" t="str">
        <x:v>No EEG/eye/audio/video/group interaction or decision-making</x:v>
      </x:c>
      <x:c r="V26" s="28" t="str">
        <x:v>Primary-source verified</x:v>
      </x:c>
      <x:c r="W26" s="28" t="str">
        <x:v>https://www.nature.com/articles/s41597-019-0209-0</x:v>
      </x:c>
      <x:c r="X26" s="28" t="str">
        <x:v>https://springernature.figshare.com/collections/CASE_Dataset/4260668</x:v>
      </x:c>
    </x:row>
    <x:row r="27">
      <x:c r="A27" s="28" t="n">
        <x:v>26</x:v>
      </x:c>
      <x:c r="B27" s="28" t="str">
        <x:v>ASCERTAIN</x:v>
      </x:c>
      <x:c r="C27" s="28" t="str">
        <x:v>Dataset</x:v>
      </x:c>
      <x:c r="D27" s="28" t="str">
        <x:v>58; individual</x:v>
      </x:c>
      <x:c r="E27" s="28" t="str">
        <x:v>36 affective movie clips</x:v>
      </x:c>
      <x:c r="F27" s="28" t="str">
        <x:v>Single-channel EEG</x:v>
      </x:c>
      <x:c r="G27" s="28" t="str">
        <x:v>3-ch ECG</x:v>
      </x:c>
      <x:c r="H27" s="28" t="str">
        <x:v>GSR</x:v>
      </x:c>
      <x:c r="I27" s="28" t="str">
        <x:v>No</x:v>
      </x:c>
      <x:c r="J27" s="28" t="str">
        <x:v>No</x:v>
      </x:c>
      <x:c r="K27" s="28" t="str">
        <x:v>No</x:v>
      </x:c>
      <x:c r="L27" s="28" t="str">
        <x:v>Facial landmarks / face response</x:v>
      </x:c>
      <x:c r="M27" s="28" t="str">
        <x:v>No</x:v>
      </x:c>
      <x:c r="N27" s="28" t="str">
        <x:v>No</x:v>
      </x:c>
      <x:c r="O27" s="28" t="str">
        <x:v>Emotion + Big Five self-ratings</x:v>
      </x:c>
      <x:c r="P27" s="28" t="str">
        <x:v>No</x:v>
      </x:c>
      <x:c r="Q27" s="28" t="str">
        <x:v>Repeated clips</x:v>
      </x:c>
      <x:c r="R27" s="28" t="str">
        <x:v>EEG, ECG, GSR and facial activity recorded synchronously</x:v>
      </x:c>
      <x:c r="S27" s="28" t="str">
        <x:v>Public/research access</x:v>
      </x:c>
      <x:c r="T27" s="28" t="str">
        <x:v>EEG + ECG + GSR + facial behavior in one synchronized dataset</x:v>
      </x:c>
      <x:c r="U27" s="28" t="str">
        <x:v>Individual passive viewing; no eye tracking/audio/group decision/deception/EMG</x:v>
      </x:c>
      <x:c r="V27" s="28" t="str">
        <x:v>Primary-source verified</x:v>
      </x:c>
      <x:c r="W27" s="28" t="str">
        <x:v>https://doi.org/10.1109/TAFFC.2016.2625250</x:v>
      </x:c>
      <x:c r="X27" s="28" t="str">
        <x:v>https://ascertain-dataset.github.io/</x:v>
      </x:c>
    </x:row>
    <x:row r="28">
      <x:c r="A28" s="28" t="n">
        <x:v>27</x:v>
      </x:c>
      <x:c r="B28" s="28" t="str">
        <x:v>DREAMER</x:v>
      </x:c>
      <x:c r="C28" s="28" t="str">
        <x:v>Dataset</x:v>
      </x:c>
      <x:c r="D28" s="28" t="str">
        <x:v>23; individual</x:v>
      </x:c>
      <x:c r="E28" s="28" t="str">
        <x:v>Audio-visual affect elicitation</x:v>
      </x:c>
      <x:c r="F28" s="28" t="str">
        <x:v>Yes</x:v>
      </x:c>
      <x:c r="G28" s="28" t="str">
        <x:v>ECG</x:v>
      </x:c>
      <x:c r="H28" s="28" t="str">
        <x:v>No</x:v>
      </x:c>
      <x:c r="I28" s="28" t="str">
        <x:v>No</x:v>
      </x:c>
      <x:c r="J28" s="28" t="str">
        <x:v>No</x:v>
      </x:c>
      <x:c r="K28" s="28" t="str">
        <x:v>No</x:v>
      </x:c>
      <x:c r="L28" s="28" t="str">
        <x:v>No</x:v>
      </x:c>
      <x:c r="M28" s="28" t="str">
        <x:v>No</x:v>
      </x:c>
      <x:c r="N28" s="28" t="str">
        <x:v>No</x:v>
      </x:c>
      <x:c r="O28" s="28" t="str">
        <x:v>Valence/arousal/dominance self-assessment</x:v>
      </x:c>
      <x:c r="P28" s="28" t="str">
        <x:v>No</x:v>
      </x:c>
      <x:c r="Q28" s="28" t="str">
        <x:v>Repeated stimuli</x:v>
      </x:c>
      <x:c r="R28" s="28" t="str">
        <x:v>EEG and ECG recorded simultaneously from wireless low-cost devices</x:v>
      </x:c>
      <x:c r="S28" s="28" t="str">
        <x:v>Public/research</x:v>
      </x:c>
      <x:c r="T28" s="28" t="str">
        <x:v>Compact synchronized EEG+ECG affect dataset</x:v>
      </x:c>
      <x:c r="U28" s="28" t="str">
        <x:v>No peripheral breadth, eye/audio/video release, social interaction or decisions</x:v>
      </x:c>
      <x:c r="V28" s="28" t="str">
        <x:v>Primary-source verified</x:v>
      </x:c>
      <x:c r="W28" s="28" t="str">
        <x:v>https://doi.org/10.1109/JBHI.2017.2688239</x:v>
      </x:c>
      <x:c r="X28" s="28" t="str">
        <x:v>https://zenodo.org/record/546113</x:v>
      </x:c>
    </x:row>
    <x:row r="29">
      <x:c r="A29" s="28" t="n">
        <x:v>28</x:v>
      </x:c>
      <x:c r="B29" s="28" t="str">
        <x:v>WESAD</x:v>
      </x:c>
      <x:c r="C29" s="28" t="str">
        <x:v>Dataset</x:v>
      </x:c>
      <x:c r="D29" s="28" t="str">
        <x:v>15; individual</x:v>
      </x:c>
      <x:c r="E29" s="28" t="str">
        <x:v>Baseline, amusement and Trier Social Stress Test</x:v>
      </x:c>
      <x:c r="F29" s="28" t="str">
        <x:v>No</x:v>
      </x:c>
      <x:c r="G29" s="28" t="str">
        <x:v>ECG + BVP</x:v>
      </x:c>
      <x:c r="H29" s="28" t="str">
        <x:v>EDA</x:v>
      </x:c>
      <x:c r="I29" s="28" t="str">
        <x:v>EMG</x:v>
      </x:c>
      <x:c r="J29" s="28" t="str">
        <x:v>No</x:v>
      </x:c>
      <x:c r="K29" s="28" t="str">
        <x:v>No</x:v>
      </x:c>
      <x:c r="L29" s="28" t="str">
        <x:v>No</x:v>
      </x:c>
      <x:c r="M29" s="28" t="str">
        <x:v>No</x:v>
      </x:c>
      <x:c r="N29" s="28" t="str">
        <x:v>No</x:v>
      </x:c>
      <x:c r="O29" s="28" t="str">
        <x:v>PANAS and other questionnaires</x:v>
      </x:c>
      <x:c r="P29" s="28" t="str">
        <x:v>No</x:v>
      </x:c>
      <x:c r="Q29" s="28" t="str">
        <x:v>Multiple protocol phases</x:v>
      </x:c>
      <x:c r="R29" s="28" t="str">
        <x:v>Chest and wrist streams synchronized in released dataset</x:v>
      </x:c>
      <x:c r="S29" s="28" t="str">
        <x:v>Public</x:v>
      </x:c>
      <x:c r="T29" s="28" t="str">
        <x:v>Strong ECG+EDA+EMG wearable physiology benchmark</x:v>
      </x:c>
      <x:c r="U29" s="28" t="str">
        <x:v>No EEG/eye/audio/video, interpersonal interaction, decision structure or deception</x:v>
      </x:c>
      <x:c r="V29" s="28" t="str">
        <x:v>Primary-source verified</x:v>
      </x:c>
      <x:c r="W29" s="28" t="str">
        <x:v>https://dl.acm.org/doi/10.1145/3242969.3242985</x:v>
      </x:c>
      <x:c r="X29" s="28" t="str">
        <x:v>https://ubicomp.eti.uni-siegen.de/home/datasets/icmi18/</x:v>
      </x:c>
    </x:row>
    <x:row r="30">
      <x:c r="A30" s="28" t="n">
        <x:v>29</x:v>
      </x:c>
      <x:c r="B30" s="28" t="str">
        <x:v>SWELL-KW</x:v>
      </x:c>
      <x:c r="C30" s="28" t="str">
        <x:v>Dataset</x:v>
      </x:c>
      <x:c r="D30" s="28" t="str">
        <x:v>25; individual</x:v>
      </x:c>
      <x:c r="E30" s="28" t="str">
        <x:v>Knowledge work under time pressure and email interruptions</x:v>
      </x:c>
      <x:c r="F30" s="28" t="str">
        <x:v>No</x:v>
      </x:c>
      <x:c r="G30" s="28" t="str">
        <x:v>Heart rate / HRV</x:v>
      </x:c>
      <x:c r="H30" s="28" t="str">
        <x:v>Skin conductance</x:v>
      </x:c>
      <x:c r="I30" s="28" t="str">
        <x:v>No</x:v>
      </x:c>
      <x:c r="J30" s="28" t="str">
        <x:v>No</x:v>
      </x:c>
      <x:c r="K30" s="28" t="str">
        <x:v>No</x:v>
      </x:c>
      <x:c r="L30" s="28" t="str">
        <x:v>Face camera + Kinect posture</x:v>
      </x:c>
      <x:c r="M30" s="28" t="str">
        <x:v>No</x:v>
      </x:c>
      <x:c r="N30" s="28" t="str">
        <x:v>Task choices only</x:v>
      </x:c>
      <x:c r="O30" s="28" t="str">
        <x:v>NASA-TLX, effort, emotion, perceived stress</x:v>
      </x:c>
      <x:c r="P30" s="28" t="str">
        <x:v>No</x:v>
      </x:c>
      <x:c r="Q30" s="28" t="str">
        <x:v>Multiple work blocks</x:v>
      </x:c>
      <x:c r="R30" s="28" t="str">
        <x:v>Multimodal computer, camera, posture and physiology streams recorded in same experiment</x:v>
      </x:c>
      <x:c r="S30" s="28" t="str">
        <x:v>Public</x:v>
      </x:c>
      <x:c r="T30" s="28" t="str">
        <x:v>Physiology + behavioral sensing + work-task stress + rich annotations</x:v>
      </x:c>
      <x:c r="U30" s="28" t="str">
        <x:v>Individual office-work setting; no EEG/eye/audio/group interaction or social decisions</x:v>
      </x:c>
      <x:c r="V30" s="28" t="str">
        <x:v>Primary-source verified</x:v>
      </x:c>
      <x:c r="W30" s="28" t="str">
        <x:v>https://doi.org/10.1145/2663204.2663257</x:v>
      </x:c>
      <x:c r="X30" s="28" t="str">
        <x:v>https://doi.org/10.17026/dans-x55-69zp</x:v>
      </x:c>
    </x:row>
    <x:row r="31">
      <x:c r="A31" s="28" t="n">
        <x:v>30</x:v>
      </x:c>
      <x:c r="B31" s="28" t="str">
        <x:v>CLAS</x:v>
      </x:c>
      <x:c r="C31" s="28" t="str">
        <x:v>Dataset</x:v>
      </x:c>
      <x:c r="D31" s="28" t="str">
        <x:v>62; individual</x:v>
      </x:c>
      <x:c r="E31" s="28" t="str">
        <x:v>Three interactive tasks + two perceptive tasks for load/affect/stress</x:v>
      </x:c>
      <x:c r="F31" s="28" t="str">
        <x:v>No reported in released core description</x:v>
      </x:c>
      <x:c r="G31" s="28" t="str">
        <x:v>ECG + PPG</x:v>
      </x:c>
      <x:c r="H31" s="28" t="str">
        <x:v>EDA</x:v>
      </x:c>
      <x:c r="I31" s="28" t="str">
        <x:v>No</x:v>
      </x:c>
      <x:c r="J31" s="28" t="str">
        <x:v>No</x:v>
      </x:c>
      <x:c r="K31" s="28" t="str">
        <x:v>No</x:v>
      </x:c>
      <x:c r="L31" s="28" t="str">
        <x:v>No</x:v>
      </x:c>
      <x:c r="M31" s="28" t="str">
        <x:v>Interactive HCI tasks, not interpersonal</x:v>
      </x:c>
      <x:c r="N31" s="28" t="str">
        <x:v>Task performance</x:v>
      </x:c>
      <x:c r="O31" s="28" t="str">
        <x:v>Metadata / state labels</x:v>
      </x:c>
      <x:c r="P31" s="28" t="str">
        <x:v>No</x:v>
      </x:c>
      <x:c r="Q31" s="28" t="str">
        <x:v>Multiple tasks</x:v>
      </x:c>
      <x:c r="R31" s="28" t="str">
        <x:v>Physiological streams explicitly synchronized</x:v>
      </x:c>
      <x:c r="S31" s="28" t="str">
        <x:v>Public</x:v>
      </x:c>
      <x:c r="T31" s="28" t="str">
        <x:v>Interactive-task physiology with synchronized ECG/PPG/EDA</x:v>
      </x:c>
      <x:c r="U31" s="28" t="str">
        <x:v>No EEG/eye/audio/video/group interaction/deception/confidence-voting structure</x:v>
      </x:c>
      <x:c r="V31" s="28" t="str">
        <x:v>Primary-source verified</x:v>
      </x:c>
      <x:c r="W31" s="28" t="str">
        <x:v>https://doi.org/10.1109/BIA48344.2019.8967457</x:v>
      </x:c>
      <x:c r="X31" s="28" t="str">
        <x:v>https://data.mendeley.com/datasets/8hm59ryzb8/1</x:v>
      </x:c>
    </x:row>
    <x:row r="32">
      <x:c r="A32" s="28" t="n">
        <x:v>31</x:v>
      </x:c>
      <x:c r="B32" s="28" t="str">
        <x:v>UBFC-Phys</x:v>
      </x:c>
      <x:c r="C32" s="28" t="str">
        <x:v>Dataset</x:v>
      </x:c>
      <x:c r="D32" s="28" t="str">
        <x:v>56; individual with experimenter present</x:v>
      </x:c>
      <x:c r="E32" s="28" t="str">
        <x:v>Rest, speech and arithmetic social-stress tasks</x:v>
      </x:c>
      <x:c r="F32" s="28" t="str">
        <x:v>No</x:v>
      </x:c>
      <x:c r="G32" s="28" t="str">
        <x:v>BVP</x:v>
      </x:c>
      <x:c r="H32" s="28" t="str">
        <x:v>EDA</x:v>
      </x:c>
      <x:c r="I32" s="28" t="str">
        <x:v>No</x:v>
      </x:c>
      <x:c r="J32" s="28" t="str">
        <x:v>No</x:v>
      </x:c>
      <x:c r="K32" s="28" t="str">
        <x:v>No</x:v>
      </x:c>
      <x:c r="L32" s="28" t="str">
        <x:v>RGB video</x:v>
      </x:c>
      <x:c r="M32" s="28" t="str">
        <x:v>Limited interpersonal context</x:v>
      </x:c>
      <x:c r="N32" s="28" t="str">
        <x:v>No</x:v>
      </x:c>
      <x:c r="O32" s="28" t="str">
        <x:v>Pre/post anxiety and self-confidence</x:v>
      </x:c>
      <x:c r="P32" s="28" t="str">
        <x:v>No</x:v>
      </x:c>
      <x:c r="Q32" s="28" t="str">
        <x:v>Three tasks</x:v>
      </x:c>
      <x:c r="R32" s="28" t="str">
        <x:v>Task-specific video, BVP and EDA files aligned by session/task</x:v>
      </x:c>
      <x:c r="S32" s="28" t="str">
        <x:v>Public</x:v>
      </x:c>
      <x:c r="T32" s="28" t="str">
        <x:v>Video + BVP + EDA + self-confidence during social stress</x:v>
      </x:c>
      <x:c r="U32" s="28" t="str">
        <x:v>No EEG/ECG/EMG/eye/audio or peer group decision-making</x:v>
      </x:c>
      <x:c r="V32" s="28" t="str">
        <x:v>Primary-source verified</x:v>
      </x:c>
      <x:c r="W32" s="28" t="str">
        <x:v>https://doi.org/10.1109/TAFFC.2021.3056960</x:v>
      </x:c>
      <x:c r="X32" s="28" t="str">
        <x:v>https://search-data.ubfc.fr/imvia/FR-18008901306731-2022-05-05_UBFC-Phys-A-Multimodal-Dataset-For.html</x:v>
      </x:c>
    </x:row>
    <x:row r="33">
      <x:c r="A33" s="28" t="n">
        <x:v>32</x:v>
      </x:c>
      <x:c r="B33" s="28" t="str">
        <x:v>DECAF</x:v>
      </x:c>
      <x:c r="C33" s="28" t="str">
        <x:v>Dataset</x:v>
      </x:c>
      <x:c r="D33" s="28" t="str">
        <x:v>30; individual</x:v>
      </x:c>
      <x:c r="E33" s="28" t="str">
        <x:v>Music-video and movie affect elicitation</x:v>
      </x:c>
      <x:c r="F33" s="28" t="str">
        <x:v>MEG (not EEG)</x:v>
      </x:c>
      <x:c r="G33" s="28" t="str">
        <x:v>ECG</x:v>
      </x:c>
      <x:c r="H33" s="28" t="str">
        <x:v>No reported</x:v>
      </x:c>
      <x:c r="I33" s="28" t="str">
        <x:v>Trapezius EMG</x:v>
      </x:c>
      <x:c r="J33" s="28" t="str">
        <x:v>No</x:v>
      </x:c>
      <x:c r="K33" s="28" t="str">
        <x:v>No</x:v>
      </x:c>
      <x:c r="L33" s="28" t="str">
        <x:v>Near-infrared face video</x:v>
      </x:c>
      <x:c r="M33" s="28" t="str">
        <x:v>No</x:v>
      </x:c>
      <x:c r="N33" s="28" t="str">
        <x:v>No</x:v>
      </x:c>
      <x:c r="O33" s="28" t="str">
        <x:v>Valence/arousal/dominance + continuous annotations subset</x:v>
      </x:c>
      <x:c r="P33" s="28" t="str">
        <x:v>No</x:v>
      </x:c>
      <x:c r="Q33" s="28" t="str">
        <x:v>Repeated stimuli</x:v>
      </x:c>
      <x:c r="R33" s="28" t="str">
        <x:v>MEG, hEOG, ECG, tEMG and NIR video synchronously recorded</x:v>
      </x:c>
      <x:c r="S33" s="28" t="str">
        <x:v>Research access</x:v>
      </x:c>
      <x:c r="T33" s="28" t="str">
        <x:v>Broad synchronized neural + ECG + EMG + face sensing</x:v>
      </x:c>
      <x:c r="U33" s="28" t="str">
        <x:v>MEG not EEG; no EDA/eye/audio/social interaction/decision-making/deception</x:v>
      </x:c>
      <x:c r="V33" s="28" t="str">
        <x:v>Primary-source verified</x:v>
      </x:c>
      <x:c r="W33" s="28" t="str">
        <x:v>https://doi.org/10.1109/TAFFC.2015.2392932</x:v>
      </x:c>
      <x:c r="X33" s="28" t="str">
        <x:v>https://iris.unitn.it/handle/11572/98185</x:v>
      </x:c>
    </x:row>
    <x:row r="34">
      <x:c r="A34" s="28" t="n">
        <x:v>33</x:v>
      </x:c>
      <x:c r="B34" s="28" t="str">
        <x:v>BioVid Heat Pain Database</x:v>
      </x:c>
      <x:c r="C34" s="28" t="str">
        <x:v>Dataset</x:v>
      </x:c>
      <x:c r="D34" s="28" t="str">
        <x:v>90 collected; 87 in commonly used Part A</x:v>
      </x:c>
      <x:c r="E34" s="28" t="str">
        <x:v>Repeated controlled heat-pain stimuli</x:v>
      </x:c>
      <x:c r="F34" s="28" t="str">
        <x:v>No</x:v>
      </x:c>
      <x:c r="G34" s="28" t="str">
        <x:v>ECG</x:v>
      </x:c>
      <x:c r="H34" s="28" t="str">
        <x:v>EDA / SCL</x:v>
      </x:c>
      <x:c r="I34" s="28" t="str">
        <x:v>EMG</x:v>
      </x:c>
      <x:c r="J34" s="28" t="str">
        <x:v>No</x:v>
      </x:c>
      <x:c r="K34" s="28" t="str">
        <x:v>No</x:v>
      </x:c>
      <x:c r="L34" s="28" t="str">
        <x:v>Video</x:v>
      </x:c>
      <x:c r="M34" s="28" t="str">
        <x:v>No</x:v>
      </x:c>
      <x:c r="N34" s="28" t="str">
        <x:v>No</x:v>
      </x:c>
      <x:c r="O34" s="28" t="str">
        <x:v>Pain intensity / stimulus labels</x:v>
      </x:c>
      <x:c r="P34" s="28" t="str">
        <x:v>No</x:v>
      </x:c>
      <x:c r="Q34" s="28" t="str">
        <x:v>Repeated trials</x:v>
      </x:c>
      <x:c r="R34" s="28" t="str">
        <x:v>Video and biopotential signals recorded in same controlled trials</x:v>
      </x:c>
      <x:c r="S34" s="28" t="str">
        <x:v>Research access</x:v>
      </x:c>
      <x:c r="T34" s="28" t="str">
        <x:v>ECG + EDA + EMG + video synchronized across repeated trials</x:v>
      </x:c>
      <x:c r="U34" s="28" t="str">
        <x:v>No EEG/eye/audio/group interaction/decision-making or deception</x:v>
      </x:c>
      <x:c r="V34" s="28" t="str">
        <x:v>Primary-source verified</x:v>
      </x:c>
      <x:c r="W34" s="28" t="str">
        <x:v>https://doi.org/10.1109/CYBConf.2013.6617456</x:v>
      </x:c>
      <x:c r="X34" s="28" t="str"/>
    </x:row>
    <x:row r="35">
      <x:c r="A35" s="28" t="n">
        <x:v>34</x:v>
      </x:c>
      <x:c r="B35" s="28" t="str">
        <x:v>SEWA DB</x:v>
      </x:c>
      <x:c r="C35" s="28" t="str">
        <x:v>Dataset</x:v>
      </x:c>
      <x:c r="D35" s="28" t="str">
        <x:v>398 people; dyadic video-chat subset</x:v>
      </x:c>
      <x:c r="E35" s="28" t="str">
        <x:v>Watch adverts then discuss them in video chat</x:v>
      </x:c>
      <x:c r="F35" s="28" t="str">
        <x:v>No</x:v>
      </x:c>
      <x:c r="G35" s="28" t="str">
        <x:v>No</x:v>
      </x:c>
      <x:c r="H35" s="28" t="str">
        <x:v>No</x:v>
      </x:c>
      <x:c r="I35" s="28" t="str">
        <x:v>No</x:v>
      </x:c>
      <x:c r="J35" s="28" t="str">
        <x:v>No</x:v>
      </x:c>
      <x:c r="K35" s="28" t="str">
        <x:v>Yes</x:v>
      </x:c>
      <x:c r="L35" s="28" t="str">
        <x:v>Yes</x:v>
      </x:c>
      <x:c r="M35" s="28" t="str">
        <x:v>Yes — dyadic video chat</x:v>
      </x:c>
      <x:c r="N35" s="28" t="str">
        <x:v>Discussion/opinion exchange, not formal decision task</x:v>
      </x:c>
      <x:c r="O35" s="28" t="str">
        <x:v>Continuous valence/arousal/liking/agreement</x:v>
      </x:c>
      <x:c r="P35" s="28" t="str">
        <x:v>No</x:v>
      </x:c>
      <x:c r="Q35" s="28" t="str">
        <x:v>Multiple contexts</x:v>
      </x:c>
      <x:c r="R35" s="28" t="str">
        <x:v>Audio-visual streams time-aligned with annotations</x:v>
      </x:c>
      <x:c r="S35" s="28" t="str">
        <x:v>Research access</x:v>
      </x:c>
      <x:c r="T35" s="28" t="str">
        <x:v>Large cross-cultural dyadic audiovisual interaction resource</x:v>
      </x:c>
      <x:c r="U35" s="28" t="str">
        <x:v>No physiology/neural sensing, eye tracking, structured decisions or deception</x:v>
      </x:c>
      <x:c r="V35" s="28" t="str">
        <x:v>Primary-source verified</x:v>
      </x:c>
      <x:c r="W35" s="28" t="str">
        <x:v>https://arxiv.org/abs/1901.02839</x:v>
      </x:c>
      <x:c r="X35" s="28" t="str">
        <x:v>http://db.sewaproject.eu/</x:v>
      </x:c>
    </x:row>
    <x:row r="36">
      <x:c r="A36" s="28" t="n">
        <x:v>35</x:v>
      </x:c>
      <x:c r="B36" s="28" t="str">
        <x:v>AMI Meeting Corpus</x:v>
      </x:c>
      <x:c r="C36" s="28" t="str">
        <x:v>Dataset</x:v>
      </x:c>
      <x:c r="D36" s="28" t="str">
        <x:v>Multi-party meetings; ~100 h corpus</x:v>
      </x:c>
      <x:c r="E36" s="28" t="str">
        <x:v>Scenario-driven and real meetings</x:v>
      </x:c>
      <x:c r="F36" s="28" t="str">
        <x:v>No</x:v>
      </x:c>
      <x:c r="G36" s="28" t="str">
        <x:v>No</x:v>
      </x:c>
      <x:c r="H36" s="28" t="str">
        <x:v>No</x:v>
      </x:c>
      <x:c r="I36" s="28" t="str">
        <x:v>No</x:v>
      </x:c>
      <x:c r="J36" s="28" t="str">
        <x:v>No</x:v>
      </x:c>
      <x:c r="K36" s="28" t="str">
        <x:v>Multi-microphone</x:v>
      </x:c>
      <x:c r="L36" s="28" t="str">
        <x:v>Multi-camera</x:v>
      </x:c>
      <x:c r="M36" s="28" t="str">
        <x:v>Yes</x:v>
      </x:c>
      <x:c r="N36" s="28" t="str">
        <x:v>Meeting decisions/discussion occur but not standardized physiological decisions</x:v>
      </x:c>
      <x:c r="O36" s="28" t="str">
        <x:v>Dialogue acts, summaries and meeting annotations</x:v>
      </x:c>
      <x:c r="P36" s="28" t="str">
        <x:v>No</x:v>
      </x:c>
      <x:c r="Q36" s="28" t="str">
        <x:v>Long meetings / multiple sessions</x:v>
      </x:c>
      <x:c r="R36" s="28" t="str">
        <x:v>Instrumented-room synchronized multimedia recording</x:v>
      </x:c>
      <x:c r="S36" s="28" t="str">
        <x:v>Public/research</x:v>
      </x:c>
      <x:c r="T36" s="28" t="str">
        <x:v>Rich multi-person audio/video meeting capture and annotations</x:v>
      </x:c>
      <x:c r="U36" s="28" t="str">
        <x:v>No physiology/neural sensing, eye tracking, confidence or controlled social-deception paradigm</x:v>
      </x:c>
      <x:c r="V36" s="28" t="str">
        <x:v>Primary-source verified</x:v>
      </x:c>
      <x:c r="W36" s="28" t="str">
        <x:v>https://doi.org/10.1007/11677482_3</x:v>
      </x:c>
      <x:c r="X36" s="28" t="str">
        <x:v>https://groups.inf.ed.ac.uk/ami/corpus/</x:v>
      </x:c>
    </x:row>
    <x:row r="37">
      <x:c r="A37" s="28" t="n">
        <x:v>36</x:v>
      </x:c>
      <x:c r="B37" s="28" t="str">
        <x:v>ICSI Meeting Corpus</x:v>
      </x:c>
      <x:c r="C37" s="28" t="str">
        <x:v>Dataset</x:v>
      </x:c>
      <x:c r="D37" s="28" t="str">
        <x:v>75 meetings; 53 speakers; 3–10 participants</x:v>
      </x:c>
      <x:c r="E37" s="28" t="str">
        <x:v>Natural research-group meetings</x:v>
      </x:c>
      <x:c r="F37" s="28" t="str">
        <x:v>No</x:v>
      </x:c>
      <x:c r="G37" s="28" t="str">
        <x:v>No</x:v>
      </x:c>
      <x:c r="H37" s="28" t="str">
        <x:v>No</x:v>
      </x:c>
      <x:c r="I37" s="28" t="str">
        <x:v>No</x:v>
      </x:c>
      <x:c r="J37" s="28" t="str">
        <x:v>No</x:v>
      </x:c>
      <x:c r="K37" s="28" t="str">
        <x:v>Head-worn + tabletop microphones</x:v>
      </x:c>
      <x:c r="L37" s="28" t="str">
        <x:v>No core video release</x:v>
      </x:c>
      <x:c r="M37" s="28" t="str">
        <x:v>Yes</x:v>
      </x:c>
      <x:c r="N37" s="28" t="str">
        <x:v>Natural meeting decisions only</x:v>
      </x:c>
      <x:c r="O37" s="28" t="str">
        <x:v>Word transcripts + metadata</x:v>
      </x:c>
      <x:c r="P37" s="28" t="str">
        <x:v>No</x:v>
      </x:c>
      <x:c r="Q37" s="28" t="str">
        <x:v>Long natural meetings</x:v>
      </x:c>
      <x:c r="R37" s="28" t="str">
        <x:v>Simultaneous multi-microphone recording with word-level transcripts</x:v>
      </x:c>
      <x:c r="S37" s="28" t="str">
        <x:v>Research/LDC access</x:v>
      </x:c>
      <x:c r="T37" s="28" t="str">
        <x:v>Natural multi-party spoken interaction with strong per-speaker audio capture</x:v>
      </x:c>
      <x:c r="U37" s="28" t="str">
        <x:v>No physiology/video/eye tracking or controlled decision/deception protocol</x:v>
      </x:c>
      <x:c r="V37" s="28" t="str">
        <x:v>Primary-source verified</x:v>
      </x:c>
      <x:c r="W37" s="28" t="str">
        <x:v>https://doi.org/10.1109/ICASSP.2003.1198793</x:v>
      </x:c>
      <x:c r="X37" s="28" t="str">
        <x:v>https://groups.inf.ed.ac.uk/ami/icsi/</x:v>
      </x:c>
    </x:row>
    <x:row r="38">
      <x:c r="A38" s="28" t="n">
        <x:v>37</x:v>
      </x:c>
      <x:c r="B38" s="28" t="str">
        <x:v>ELEA</x:v>
      </x:c>
      <x:c r="C38" s="28" t="str">
        <x:v>Dataset</x:v>
      </x:c>
      <x:c r="D38" s="28" t="str">
        <x:v>Small newly formed groups; up to 6-person audio setup</x:v>
      </x:c>
      <x:c r="E38" s="28" t="str">
        <x:v>Winter survival group-decision task</x:v>
      </x:c>
      <x:c r="F38" s="28" t="str">
        <x:v>No</x:v>
      </x:c>
      <x:c r="G38" s="28" t="str">
        <x:v>No</x:v>
      </x:c>
      <x:c r="H38" s="28" t="str">
        <x:v>No</x:v>
      </x:c>
      <x:c r="I38" s="28" t="str">
        <x:v>No</x:v>
      </x:c>
      <x:c r="J38" s="28" t="str">
        <x:v>No</x:v>
      </x:c>
      <x:c r="K38" s="28" t="str">
        <x:v>Yes</x:v>
      </x:c>
      <x:c r="L38" s="28" t="str">
        <x:v>Yes</x:v>
      </x:c>
      <x:c r="M38" s="28" t="str">
        <x:v>Yes</x:v>
      </x:c>
      <x:c r="N38" s="28" t="str">
        <x:v>Yes — group survival ranking/decision</x:v>
      </x:c>
      <x:c r="O38" s="28" t="str">
        <x:v>Leadership/personality + performance</x:v>
      </x:c>
      <x:c r="P38" s="28" t="str">
        <x:v>No</x:v>
      </x:c>
      <x:c r="Q38" s="28" t="str">
        <x:v>Group meeting episode</x:v>
      </x:c>
      <x:c r="R38" s="28" t="str">
        <x:v>Synchronized audio-visual corpus</x:v>
      </x:c>
      <x:c r="S38" s="28" t="str">
        <x:v>Restricted/research</x:v>
      </x:c>
      <x:c r="T38" s="28" t="str">
        <x:v>Small-group decision discussion + audio/video + outcome measures</x:v>
      </x:c>
      <x:c r="U38" s="28" t="str">
        <x:v>No physiological/neural sensing, eye tracking, confidence or deception</x:v>
      </x:c>
      <x:c r="V38" s="28" t="str">
        <x:v>Primary-source verified</x:v>
      </x:c>
      <x:c r="W38" s="28" t="str">
        <x:v>https://publications.idiap.ch/index.php/publications/show/2196</x:v>
      </x:c>
      <x:c r="X38" s="28" t="str">
        <x:v>https://zenodo.org/records/4573018</x:v>
      </x:c>
    </x:row>
    <x:row r="39">
      <x:c r="A39" s="28" t="n">
        <x:v>38</x:v>
      </x:c>
      <x:c r="B39" s="28" t="str">
        <x:v>MatchNMingle</x:v>
      </x:c>
      <x:c r="C39" s="28" t="str">
        <x:v>Dataset</x:v>
      </x:c>
      <x:c r="D39" s="28" t="str">
        <x:v>92; dyads and free-standing groups</x:v>
      </x:c>
      <x:c r="E39" s="28" t="str">
        <x:v>Speed dates followed by cocktail/mingle interaction</x:v>
      </x:c>
      <x:c r="F39" s="28" t="str">
        <x:v>No</x:v>
      </x:c>
      <x:c r="G39" s="28" t="str">
        <x:v>No</x:v>
      </x:c>
      <x:c r="H39" s="28" t="str">
        <x:v>No</x:v>
      </x:c>
      <x:c r="I39" s="28" t="str">
        <x:v>No</x:v>
      </x:c>
      <x:c r="J39" s="28" t="str">
        <x:v>No</x:v>
      </x:c>
      <x:c r="K39" s="28" t="str">
        <x:v>Wearable audio / conversational signals</x:v>
      </x:c>
      <x:c r="L39" s="28" t="str">
        <x:v>Overhead video</x:v>
      </x:c>
      <x:c r="M39" s="28" t="str">
        <x:v>Yes</x:v>
      </x:c>
      <x:c r="N39" s="28" t="str">
        <x:v>Speed-date preference responses, not repeated formal decisions</x:v>
      </x:c>
      <x:c r="O39" s="28" t="str">
        <x:v>Personality + attraction responses + social-action annotations</x:v>
      </x:c>
      <x:c r="P39" s="28" t="str">
        <x:v>No</x:v>
      </x:c>
      <x:c r="Q39" s="28" t="str">
        <x:v>Long continuous interaction</x:v>
      </x:c>
      <x:c r="R39" s="28" t="str">
        <x:v>Wearable acceleration/proximity and overhead video/audio recorded concurrently</x:v>
      </x:c>
      <x:c r="S39" s="28" t="str">
        <x:v>Research access</x:v>
      </x:c>
      <x:c r="T39" s="28" t="str">
        <x:v>Large real-world group dynamics + wearable proximity/motion + audio/video</x:v>
      </x:c>
      <x:c r="U39" s="28" t="str">
        <x:v>No physiology/neural sensing, controlled decision rounds, confidence or deception</x:v>
      </x:c>
      <x:c r="V39" s="28" t="str">
        <x:v>Primary-source verified</x:v>
      </x:c>
      <x:c r="W39" s="28" t="str">
        <x:v>https://hhung.github.io/MatchNMingle.pdf</x:v>
      </x:c>
      <x:c r="X39" s="28" t="str"/>
    </x:row>
    <x:row r="40">
      <x:c r="A40" s="28" t="n">
        <x:v>39</x:v>
      </x:c>
      <x:c r="B40" s="28" t="str">
        <x:v>NoXi</x:v>
      </x:c>
      <x:c r="C40" s="28" t="str">
        <x:v>Dataset</x:v>
      </x:c>
      <x:c r="D40" s="28" t="str">
        <x:v>Dyads</x:v>
      </x:c>
      <x:c r="E40" s="28" t="str">
        <x:v>Screen-mediated novice-expert information exchange/retrieval</x:v>
      </x:c>
      <x:c r="F40" s="28" t="str">
        <x:v>No</x:v>
      </x:c>
      <x:c r="G40" s="28" t="str">
        <x:v>No</x:v>
      </x:c>
      <x:c r="H40" s="28" t="str">
        <x:v>No</x:v>
      </x:c>
      <x:c r="I40" s="28" t="str">
        <x:v>No</x:v>
      </x:c>
      <x:c r="J40" s="28" t="str">
        <x:v>No</x:v>
      </x:c>
      <x:c r="K40" s="28" t="str">
        <x:v>Yes</x:v>
      </x:c>
      <x:c r="L40" s="28" t="str">
        <x:v>Yes</x:v>
      </x:c>
      <x:c r="M40" s="28" t="str">
        <x:v>Yes</x:v>
      </x:c>
      <x:c r="N40" s="28" t="str">
        <x:v>No formal decision task</x:v>
      </x:c>
      <x:c r="O40" s="28" t="str">
        <x:v>Engagement/interest/fluidity + dialogue acts</x:v>
      </x:c>
      <x:c r="P40" s="28" t="str">
        <x:v>No</x:v>
      </x:c>
      <x:c r="Q40" s="28" t="str">
        <x:v>Long interaction</x:v>
      </x:c>
      <x:c r="R40" s="28" t="str">
        <x:v>Synchronized audio-visual data with continuous/discrete annotations</x:v>
      </x:c>
      <x:c r="S40" s="28" t="str">
        <x:v>Public/research</x:v>
      </x:c>
      <x:c r="T40" s="28" t="str">
        <x:v>Natural information exchange + synchronized audiovisual social signals</x:v>
      </x:c>
      <x:c r="U40" s="28" t="str">
        <x:v>No physiological/neural sensing, group size &gt;2, confidence, voting or deception</x:v>
      </x:c>
      <x:c r="V40" s="28" t="str">
        <x:v>Primary-source verified</x:v>
      </x:c>
      <x:c r="W40" s="28" t="str">
        <x:v>https://doi.org/10.1145/3136755.3136780</x:v>
      </x:c>
      <x:c r="X40" s="28" t="str">
        <x:v>https://multimediate-challenge.org/datasets/Dataset_NoXi/</x:v>
      </x:c>
    </x:row>
    <x:row r="41">
      <x:c r="A41" s="28" t="n">
        <x:v>40</x:v>
      </x:c>
      <x:c r="B41" s="28" t="str">
        <x:v>MELD</x:v>
      </x:c>
      <x:c r="C41" s="28" t="str">
        <x:v>Dataset</x:v>
      </x:c>
      <x:c r="D41" s="28" t="str">
        <x:v>Multi-party TV conversations</x:v>
      </x:c>
      <x:c r="E41" s="28" t="str">
        <x:v>Emotion recognition in scripted multiparty dialogue</x:v>
      </x:c>
      <x:c r="F41" s="28" t="str">
        <x:v>No</x:v>
      </x:c>
      <x:c r="G41" s="28" t="str">
        <x:v>No</x:v>
      </x:c>
      <x:c r="H41" s="28" t="str">
        <x:v>No</x:v>
      </x:c>
      <x:c r="I41" s="28" t="str">
        <x:v>No</x:v>
      </x:c>
      <x:c r="J41" s="28" t="str">
        <x:v>No</x:v>
      </x:c>
      <x:c r="K41" s="28" t="str">
        <x:v>Yes</x:v>
      </x:c>
      <x:c r="L41" s="28" t="str">
        <x:v>Yes</x:v>
      </x:c>
      <x:c r="M41" s="28" t="str">
        <x:v>Multiparty conversational content</x:v>
      </x:c>
      <x:c r="N41" s="28" t="str">
        <x:v>No formal research decision task</x:v>
      </x:c>
      <x:c r="O41" s="28" t="str">
        <x:v>Emotion + sentiment per utterance</x:v>
      </x:c>
      <x:c r="P41" s="28" t="str">
        <x:v>No</x:v>
      </x:c>
      <x:c r="Q41" s="28" t="str">
        <x:v>Many dialogues</x:v>
      </x:c>
      <x:c r="R41" s="28" t="str">
        <x:v>Audio/video/text aligned at utterance timestamps</x:v>
      </x:c>
      <x:c r="S41" s="28" t="str">
        <x:v>Public</x:v>
      </x:c>
      <x:c r="T41" s="28" t="str">
        <x:v>Large multiparty audio-video-text corpus with turn-level alignment</x:v>
      </x:c>
      <x:c r="U41" s="28" t="str">
        <x:v>Not experimentally collected physiology; scripted TV dialogue; no decision/deception ground truth</x:v>
      </x:c>
      <x:c r="V41" s="28" t="str">
        <x:v>Primary-source verified</x:v>
      </x:c>
      <x:c r="W41" s="28" t="str">
        <x:v>https://doi.org/10.18653/v1/P19-1050</x:v>
      </x:c>
      <x:c r="X41" s="28" t="str">
        <x:v>https://affective-meld.github.io/</x:v>
      </x:c>
    </x:row>
    <x:row r="42">
      <x:c r="A42" s="28" t="n">
        <x:v>41</x:v>
      </x:c>
      <x:c r="B42" s="28" t="str">
        <x:v>MPIIGroupInteraction</x:v>
      </x:c>
      <x:c r="C42" s="28" t="str">
        <x:v>Dataset</x:v>
      </x:c>
      <x:c r="D42" s="28" t="str">
        <x:v>Small-group discussions</x:v>
      </x:c>
      <x:c r="E42" s="28" t="str">
        <x:v>Natural group discussions used for backchannels, agreement, eye contact, next-speaker and engagement tasks</x:v>
      </x:c>
      <x:c r="F42" s="28" t="str">
        <x:v>No</x:v>
      </x:c>
      <x:c r="G42" s="28" t="str">
        <x:v>No</x:v>
      </x:c>
      <x:c r="H42" s="28" t="str">
        <x:v>No</x:v>
      </x:c>
      <x:c r="I42" s="28" t="str">
        <x:v>No</x:v>
      </x:c>
      <x:c r="J42" s="28" t="str">
        <x:v>No</x:v>
      </x:c>
      <x:c r="K42" s="28" t="str">
        <x:v>Yes</x:v>
      </x:c>
      <x:c r="L42" s="28" t="str">
        <x:v>Yes</x:v>
      </x:c>
      <x:c r="M42" s="28" t="str">
        <x:v>Yes</x:v>
      </x:c>
      <x:c r="N42" s="28" t="str">
        <x:v>Agreement behavior, not controlled decision task</x:v>
      </x:c>
      <x:c r="O42" s="28" t="str">
        <x:v>Behavioral engagement/agreement annotations</x:v>
      </x:c>
      <x:c r="P42" s="28" t="str">
        <x:v>No</x:v>
      </x:c>
      <x:c r="Q42" s="28" t="str">
        <x:v>Group conversation</x:v>
      </x:c>
      <x:c r="R42" s="28" t="str">
        <x:v>Original videos with synchronized multimodal annotations/features</x:v>
      </x:c>
      <x:c r="S42" s="28" t="str">
        <x:v>Research/public challenge access</x:v>
      </x:c>
      <x:c r="T42" s="28" t="str">
        <x:v>Natural multiparty group behavior with fine-grained social annotations</x:v>
      </x:c>
      <x:c r="U42" s="28" t="str">
        <x:v>No physiology/neural sensing or controlled decision/confidence/deception structure</x:v>
      </x:c>
      <x:c r="V42" s="28" t="str">
        <x:v>Repository/challenge source verified</x:v>
      </x:c>
      <x:c r="W42" s="28" t="str">
        <x:v>https://multimediate-challenge.org/Dataset/</x:v>
      </x:c>
      <x:c r="X42" s="28" t="str">
        <x:v>https://multimediate-challenge.org/Dataset/</x:v>
      </x:c>
    </x:row>
    <x:row r="43">
      <x:c r="A43" s="28" t="n">
        <x:v>42</x:v>
      </x:c>
      <x:c r="B43" s="28" t="str">
        <x:v>EEGEyeNet</x:v>
      </x:c>
      <x:c r="C43" s="28" t="str">
        <x:v>Dataset</x:v>
      </x:c>
      <x:c r="D43" s="28" t="str">
        <x:v>356; individual</x:v>
      </x:c>
      <x:c r="E43" s="28" t="str">
        <x:v>Three eye-movement paradigms</x:v>
      </x:c>
      <x:c r="F43" s="28" t="str">
        <x:v>Yes</x:v>
      </x:c>
      <x:c r="G43" s="28" t="str">
        <x:v>No</x:v>
      </x:c>
      <x:c r="H43" s="28" t="str">
        <x:v>No</x:v>
      </x:c>
      <x:c r="I43" s="28" t="str">
        <x:v>No</x:v>
      </x:c>
      <x:c r="J43" s="28" t="str">
        <x:v>Yes</x:v>
      </x:c>
      <x:c r="K43" s="28" t="str">
        <x:v>No</x:v>
      </x:c>
      <x:c r="L43" s="28" t="str">
        <x:v>No</x:v>
      </x:c>
      <x:c r="M43" s="28" t="str">
        <x:v>No</x:v>
      </x:c>
      <x:c r="N43" s="28" t="str">
        <x:v>No</x:v>
      </x:c>
      <x:c r="O43" s="28" t="str">
        <x:v>No</x:v>
      </x:c>
      <x:c r="P43" s="28" t="str">
        <x:v>No</x:v>
      </x:c>
      <x:c r="Q43" s="28" t="str">
        <x:v>Multiple paradigms</x:v>
      </x:c>
      <x:c r="R43" s="28" t="str">
        <x:v>Simultaneous EEG and eye tracking</x:v>
      </x:c>
      <x:c r="S43" s="28" t="str">
        <x:v>Public</x:v>
      </x:c>
      <x:c r="T43" s="28" t="str">
        <x:v>Large-scale simultaneous EEG + eye-tracking benchmark</x:v>
      </x:c>
      <x:c r="U43" s="28" t="str">
        <x:v>No peripheral physiology/audio/video/social interaction or decision-making</x:v>
      </x:c>
      <x:c r="V43" s="28" t="str">
        <x:v>Primary-source verified</x:v>
      </x:c>
      <x:c r="W43" s="28" t="str">
        <x:v>https://arxiv.org/abs/2111.05100</x:v>
      </x:c>
      <x:c r="X43" s="28" t="str">
        <x:v>https://github.com/ardkastrati/EEGEyeNet</x:v>
      </x:c>
    </x:row>
    <x:row r="44">
      <x:c r="A44" s="28" t="n">
        <x:v>43</x:v>
      </x:c>
      <x:c r="B44" s="28" t="str">
        <x:v>EYE-EEG</x:v>
      </x:c>
      <x:c r="C44" s="28" t="str">
        <x:v>Methods / toolbox</x:v>
      </x:c>
      <x:c r="D44" s="28" t="str">
        <x:v>Any simultaneous EEG+eye dataset</x:v>
      </x:c>
      <x:c r="E44" s="28" t="str">
        <x:v>Co-registration and integrated EEG/eye analysis</x:v>
      </x:c>
      <x:c r="F44" s="28" t="str">
        <x:v>Yes</x:v>
      </x:c>
      <x:c r="G44" s="28" t="str">
        <x:v>No</x:v>
      </x:c>
      <x:c r="H44" s="28" t="str">
        <x:v>No</x:v>
      </x:c>
      <x:c r="I44" s="28" t="str">
        <x:v>No</x:v>
      </x:c>
      <x:c r="J44" s="28" t="str">
        <x:v>Yes</x:v>
      </x:c>
      <x:c r="K44" s="28" t="str">
        <x:v>No</x:v>
      </x:c>
      <x:c r="L44" s="28" t="str">
        <x:v>No</x:v>
      </x:c>
      <x:c r="M44" s="28" t="str">
        <x:v>N/A</x:v>
      </x:c>
      <x:c r="N44" s="28" t="str">
        <x:v>N/A</x:v>
      </x:c>
      <x:c r="O44" s="28" t="str">
        <x:v>N/A</x:v>
      </x:c>
      <x:c r="P44" s="28" t="str">
        <x:v>No</x:v>
      </x:c>
      <x:c r="Q44" s="28" t="str">
        <x:v>N/A</x:v>
      </x:c>
      <x:c r="R44" s="28" t="str">
        <x:v>Supports synchronization with millisecond precision; imports eye data as EEG channels/events</x:v>
      </x:c>
      <x:c r="S44" s="28" t="str">
        <x:v>Open source</x:v>
      </x:c>
      <x:c r="T44" s="28" t="str">
        <x:v>Directly relevant to ARL EEG + eye-tracking synchronization/analysis</x:v>
      </x:c>
      <x:c r="U44" s="28" t="str">
        <x:v>Not a dataset or decision paradigm; infrastructure only</x:v>
      </x:c>
      <x:c r="V44" s="28" t="str">
        <x:v>Primary-source verified</x:v>
      </x:c>
      <x:c r="W44" s="28" t="str">
        <x:v>https://github.com/olafdimigen/eye-eeg</x:v>
      </x:c>
      <x:c r="X44" s="28" t="str">
        <x:v>https://www.eyetracking-eeg.org/</x:v>
      </x:c>
    </x:row>
    <x:row r="45">
      <x:c r="A45" s="28" t="n">
        <x:v>44</x:v>
      </x:c>
      <x:c r="B45" s="28" t="str">
        <x:v>A Uniform Human Multimodal Dataset for Emotion Perception and Judgment</x:v>
      </x:c>
      <x:c r="C45" s="28" t="str">
        <x:v>Dataset</x:v>
      </x:c>
      <x:c r="D45" s="28" t="str">
        <x:v>97 EEG; 19 fMRI; 16 single-neuron patients; 24 eye tracking + other cohorts</x:v>
      </x:c>
      <x:c r="E45" s="28" t="str">
        <x:v>Common facial-emotion perception/judgment task across modalities</x:v>
      </x:c>
      <x:c r="F45" s="28" t="str">
        <x:v>Yes</x:v>
      </x:c>
      <x:c r="G45" s="28" t="str">
        <x:v>No</x:v>
      </x:c>
      <x:c r="H45" s="28" t="str">
        <x:v>No</x:v>
      </x:c>
      <x:c r="I45" s="28" t="str">
        <x:v>No</x:v>
      </x:c>
      <x:c r="J45" s="28" t="str">
        <x:v>Yes</x:v>
      </x:c>
      <x:c r="K45" s="28" t="str">
        <x:v>No</x:v>
      </x:c>
      <x:c r="L45" s="28" t="str">
        <x:v>No</x:v>
      </x:c>
      <x:c r="M45" s="28" t="str">
        <x:v>No</x:v>
      </x:c>
      <x:c r="N45" s="28" t="str">
        <x:v>Yes — emotion judgment</x:v>
      </x:c>
      <x:c r="O45" s="28" t="str">
        <x:v>Behavioral judgments</x:v>
      </x:c>
      <x:c r="P45" s="28" t="str">
        <x:v>No</x:v>
      </x:c>
      <x:c r="Q45" s="28" t="str">
        <x:v>Repeated trials</x:v>
      </x:c>
      <x:c r="R45" s="28" t="str">
        <x:v>Common task structure across modality-specific cohorts rather than same-person simultaneous all-modality recording</x:v>
      </x:c>
      <x:c r="S45" s="28" t="str">
        <x:v>Public/research</x:v>
      </x:c>
      <x:c r="T45" s="28" t="str">
        <x:v>EEG + eye-tracking + decision/judgment framework with harmonized task</x:v>
      </x:c>
      <x:c r="U45" s="28" t="str">
        <x:v>Modalities largely across different participant cohorts; no social/group interaction or peripheral physiology</x:v>
      </x:c>
      <x:c r="V45" s="28" t="str">
        <x:v>Primary-source verified</x:v>
      </x:c>
      <x:c r="W45" s="28" t="str">
        <x:v>https://www.nature.com/articles/s41597-023-02693-z</x:v>
      </x:c>
      <x:c r="X45" s="28" t="str"/>
    </x:row>
    <x:row r="46">
      <x:c r="A46" s="28" t="n">
        <x:v>45</x:v>
      </x:c>
      <x:c r="B46" s="28" t="str">
        <x:v>MMASH</x:v>
      </x:c>
      <x:c r="C46" s="28" t="str">
        <x:v>Dataset</x:v>
      </x:c>
      <x:c r="D46" s="28" t="str">
        <x:v>22 healthy young men; individual free-living</x:v>
      </x:c>
      <x:c r="E46" s="28" t="str">
        <x:v>24-h activity, sleep, stress and mood monitoring</x:v>
      </x:c>
      <x:c r="F46" s="28" t="str">
        <x:v>No</x:v>
      </x:c>
      <x:c r="G46" s="28" t="str">
        <x:v>Beat-to-beat HR / IBI</x:v>
      </x:c>
      <x:c r="H46" s="28" t="str">
        <x:v>No</x:v>
      </x:c>
      <x:c r="I46" s="28" t="str">
        <x:v>No</x:v>
      </x:c>
      <x:c r="J46" s="28" t="str">
        <x:v>No</x:v>
      </x:c>
      <x:c r="K46" s="28" t="str">
        <x:v>No</x:v>
      </x:c>
      <x:c r="L46" s="28" t="str">
        <x:v>No</x:v>
      </x:c>
      <x:c r="M46" s="28" t="str">
        <x:v>No</x:v>
      </x:c>
      <x:c r="N46" s="28" t="str">
        <x:v>No</x:v>
      </x:c>
      <x:c r="O46" s="28" t="str">
        <x:v>PANAS, DSI, STAI, sleep/psychological questionnaires</x:v>
      </x:c>
      <x:c r="P46" s="28" t="str">
        <x:v>No</x:v>
      </x:c>
      <x:c r="Q46" s="28" t="str">
        <x:v>Continuous 24 h</x:v>
      </x:c>
      <x:c r="R46" s="28" t="str">
        <x:v>Continuous wearable HR + actigraphy with time-stamped diary/questionnaire data</x:v>
      </x:c>
      <x:c r="S46" s="28" t="str">
        <x:v>Public</x:v>
      </x:c>
      <x:c r="T46" s="28" t="str">
        <x:v>Long-duration wearable physiology + psychological context</x:v>
      </x:c>
      <x:c r="U46" s="28" t="str">
        <x:v>No multimodal neural/EDA/EMG/eye/audio/video or interaction/decision task</x:v>
      </x:c>
      <x:c r="V46" s="28" t="str">
        <x:v>Primary-source verified</x:v>
      </x:c>
      <x:c r="W46" s="28" t="str">
        <x:v>https://www.mdpi.com/2306-5729/5/4/91</x:v>
      </x:c>
      <x:c r="X46" s="28" t="str">
        <x:v>https://physionet.org/content/mmash/1.0.0/</x:v>
      </x:c>
    </x:row>
    <x:row r="47">
      <x:c r="A47" s="28" t="n">
        <x:v>46</x:v>
      </x:c>
      <x:c r="B47" s="28" t="str">
        <x:v>Cavanagh &amp; Frank — Frontal theta as a mechanism for cognitive control</x:v>
      </x:c>
      <x:c r="C47" s="28" t="str">
        <x:v>Review / theory</x:v>
      </x:c>
      <x:c r="D47" s="28" t="str">
        <x:v>Not a dataset</x:v>
      </x:c>
      <x:c r="E47" s="28" t="str">
        <x:v>Review of midfrontal theta across conflict/control tasks</x:v>
      </x:c>
      <x:c r="F47" s="28" t="str">
        <x:v>EEG/theta focus</x:v>
      </x:c>
      <x:c r="G47" s="28" t="str">
        <x:v>No</x:v>
      </x:c>
      <x:c r="H47" s="28" t="str">
        <x:v>No</x:v>
      </x:c>
      <x:c r="I47" s="28" t="str">
        <x:v>No</x:v>
      </x:c>
      <x:c r="J47" s="28" t="str">
        <x:v>No</x:v>
      </x:c>
      <x:c r="K47" s="28" t="str">
        <x:v>No</x:v>
      </x:c>
      <x:c r="L47" s="28" t="str">
        <x:v>No</x:v>
      </x:c>
      <x:c r="M47" s="28" t="str">
        <x:v>No</x:v>
      </x:c>
      <x:c r="N47" s="28" t="str">
        <x:v>Decision conflict/control evidence</x:v>
      </x:c>
      <x:c r="O47" s="28" t="str">
        <x:v>No</x:v>
      </x:c>
      <x:c r="P47" s="28" t="str">
        <x:v>No</x:v>
      </x:c>
      <x:c r="Q47" s="28" t="str">
        <x:v>Across many paradigms</x:v>
      </x:c>
      <x:c r="R47" s="28" t="str">
        <x:v>N/A — theoretical synthesis</x:v>
      </x:c>
      <x:c r="S47" s="28" t="str">
        <x:v>Open article</x:v>
      </x:c>
      <x:c r="T47" s="28" t="str">
        <x:v>Core theoretical support for frontal theta as conflict/control marker</x:v>
      </x:c>
      <x:c r="U47" s="28" t="str">
        <x:v>Does not establish a multimodal or social-decision dataset</x:v>
      </x:c>
      <x:c r="V47" s="28" t="str">
        <x:v>Primary-source verified</x:v>
      </x:c>
      <x:c r="W47" s="28" t="str">
        <x:v>https://doi.org/10.1016/j.tics.2014.04.012</x:v>
      </x:c>
      <x:c r="X47" s="28" t="str">
        <x:v>https://pmc.ncbi.nlm.nih.gov/articles/PMC4112145/</x:v>
      </x:c>
    </x:row>
    <x:row r="48">
      <x:c r="A48" s="28" t="n">
        <x:v>47</x:v>
      </x:c>
      <x:c r="B48" s="28" t="str">
        <x:v>Bang et al. — Does interaction matter?</x:v>
      </x:c>
      <x:c r="C48" s="28" t="str">
        <x:v>Experimental study</x:v>
      </x:c>
      <x:c r="D48" s="28" t="str">
        <x:v>Dyads</x:v>
      </x:c>
      <x:c r="E48" s="28" t="str">
        <x:v>Collective perceptual decisions with confidence sharing</x:v>
      </x:c>
      <x:c r="F48" s="28" t="str">
        <x:v>No</x:v>
      </x:c>
      <x:c r="G48" s="28" t="str">
        <x:v>No</x:v>
      </x:c>
      <x:c r="H48" s="28" t="str">
        <x:v>No</x:v>
      </x:c>
      <x:c r="I48" s="28" t="str">
        <x:v>No</x:v>
      </x:c>
      <x:c r="J48" s="28" t="str">
        <x:v>No</x:v>
      </x:c>
      <x:c r="K48" s="28" t="str">
        <x:v>Verbal interaction in interactive condition</x:v>
      </x:c>
      <x:c r="L48" s="28" t="str">
        <x:v>No</x:v>
      </x:c>
      <x:c r="M48" s="28" t="str">
        <x:v>Yes</x:v>
      </x:c>
      <x:c r="N48" s="28" t="str">
        <x:v>Yes</x:v>
      </x:c>
      <x:c r="O48" s="28" t="str">
        <x:v>Explicit confidence central to task</x:v>
      </x:c>
      <x:c r="P48" s="28" t="str">
        <x:v>No</x:v>
      </x:c>
      <x:c r="Q48" s="28" t="str">
        <x:v>Repeated perceptual trials</x:v>
      </x:c>
      <x:c r="R48" s="28" t="str">
        <x:v>Trial-level behavioral synchronization</x:v>
      </x:c>
      <x:c r="S48" s="28" t="str">
        <x:v>Article open</x:v>
      </x:c>
      <x:c r="T48" s="28" t="str">
        <x:v>Direct evidence for confidence sharing during collective decisions</x:v>
      </x:c>
      <x:c r="U48" s="28" t="str">
        <x:v>No physiological sensing; dyadic perceptual task rather than group social deduction</x:v>
      </x:c>
      <x:c r="V48" s="28" t="str">
        <x:v>Primary-source verified</x:v>
      </x:c>
      <x:c r="W48" s="28" t="str">
        <x:v>https://doi.org/10.1016/j.concog.2014.02.002</x:v>
      </x:c>
      <x:c r="X48" s="28" t="str">
        <x:v>https://pmc.ncbi.nlm.nih.gov/articles/PMC4029078/</x:v>
      </x:c>
    </x:row>
    <x:row r="49">
      <x:c r="A49" s="28" t="n">
        <x:v>48</x:v>
      </x:c>
      <x:c r="B49" s="28" t="str">
        <x:v>Stasser &amp; Stewart — Discovery of Hidden Profiles</x:v>
      </x:c>
      <x:c r="C49" s="28" t="str">
        <x:v>Experimental study</x:v>
      </x:c>
      <x:c r="D49" s="28" t="str">
        <x:v>Face-to-face groups</x:v>
      </x:c>
      <x:c r="E49" s="28" t="str">
        <x:v>Murder-mystery hidden-profile discussion</x:v>
      </x:c>
      <x:c r="F49" s="28" t="str">
        <x:v>No</x:v>
      </x:c>
      <x:c r="G49" s="28" t="str">
        <x:v>No</x:v>
      </x:c>
      <x:c r="H49" s="28" t="str">
        <x:v>No</x:v>
      </x:c>
      <x:c r="I49" s="28" t="str">
        <x:v>No</x:v>
      </x:c>
      <x:c r="J49" s="28" t="str">
        <x:v>No</x:v>
      </x:c>
      <x:c r="K49" s="28" t="str">
        <x:v>Discussion</x:v>
      </x:c>
      <x:c r="L49" s="28" t="str">
        <x:v>No</x:v>
      </x:c>
      <x:c r="M49" s="28" t="str">
        <x:v>Yes</x:v>
      </x:c>
      <x:c r="N49" s="28" t="str">
        <x:v>Yes</x:v>
      </x:c>
      <x:c r="O49" s="28" t="str">
        <x:v>Pre-discussion preferences / final group choice</x:v>
      </x:c>
      <x:c r="P49" s="28" t="str">
        <x:v>Strategic information distribution, not deception role</x:v>
      </x:c>
      <x:c r="Q49" s="28" t="str">
        <x:v>Single group decision</x:v>
      </x:c>
      <x:c r="R49" s="28" t="str">
        <x:v>Behavioral discussion coding, no multimodal synchronization</x:v>
      </x:c>
      <x:c r="S49" s="28" t="str">
        <x:v>No public dataset known</x:v>
      </x:c>
      <x:c r="T49" s="28" t="str">
        <x:v>Very close conceptual match to information pooling under distributed evidence</x:v>
      </x:c>
      <x:c r="U49" s="28" t="str">
        <x:v>No physiology/neural sensing, confidence, repeated rounds or hidden-role deception</x:v>
      </x:c>
      <x:c r="V49" s="28" t="str">
        <x:v>Primary-source verified</x:v>
      </x:c>
      <x:c r="W49" s="28" t="str">
        <x:v>https://doi.org/10.1037/0022-3514.63.3.426</x:v>
      </x:c>
      <x:c r="X49" s="28" t="str"/>
    </x:row>
    <x:row r="50">
      <x:c r="A50" s="28" t="n">
        <x:v>49</x:v>
      </x:c>
      <x:c r="B50" s="28" t="str">
        <x:v>Action-based confidence sharing and collective decision making</x:v>
      </x:c>
      <x:c r="C50" s="28" t="str">
        <x:v>Experimental study</x:v>
      </x:c>
      <x:c r="D50" s="28" t="str">
        <x:v>Groups of 2, 3 and 4</x:v>
      </x:c>
      <x:c r="E50" s="28" t="str">
        <x:v>Movement-based consensus decisions under uncertainty</x:v>
      </x:c>
      <x:c r="F50" s="28" t="str">
        <x:v>No</x:v>
      </x:c>
      <x:c r="G50" s="28" t="str">
        <x:v>No</x:v>
      </x:c>
      <x:c r="H50" s="28" t="str">
        <x:v>No</x:v>
      </x:c>
      <x:c r="I50" s="28" t="str">
        <x:v>No</x:v>
      </x:c>
      <x:c r="J50" s="28" t="str">
        <x:v>No</x:v>
      </x:c>
      <x:c r="K50" s="28" t="str">
        <x:v>No</x:v>
      </x:c>
      <x:c r="L50" s="28" t="str">
        <x:v>Movement trajectories</x:v>
      </x:c>
      <x:c r="M50" s="28" t="str">
        <x:v>Yes</x:v>
      </x:c>
      <x:c r="N50" s="28" t="str">
        <x:v>Yes</x:v>
      </x:c>
      <x:c r="O50" s="28" t="str">
        <x:v>Confidence inferred/expressed through action trajectories</x:v>
      </x:c>
      <x:c r="P50" s="28" t="str">
        <x:v>No</x:v>
      </x:c>
      <x:c r="Q50" s="28" t="str">
        <x:v>Repeated decisions</x:v>
      </x:c>
      <x:c r="R50" s="28" t="str">
        <x:v>Shared movement/task timing</x:v>
      </x:c>
      <x:c r="S50" s="28" t="str">
        <x:v>Open article</x:v>
      </x:c>
      <x:c r="T50" s="28" t="str">
        <x:v>Group sizes up to 4 + collective decisions + confidence communication</x:v>
      </x:c>
      <x:c r="U50" s="28" t="str">
        <x:v>No physiology/neural sensing, audio/video social discussion or deception</x:v>
      </x:c>
      <x:c r="V50" s="28" t="str">
        <x:v>Primary-source verified</x:v>
      </x:c>
      <x:c r="W50" s="28" t="str">
        <x:v>https://doi.org/10.1016/j.isci.2024.111006</x:v>
      </x:c>
      <x:c r="X50" s="28" t="str"/>
    </x:row>
    <x:row r="51">
      <x:c r="A51" s="28" t="n">
        <x:v>50</x:v>
      </x:c>
      <x:c r="B51" s="28" t="str">
        <x:v>Palumbo et al. — Interpersonal Autonomic Physiology</x:v>
      </x:c>
      <x:c r="C51" s="28" t="str">
        <x:v>Systematic review</x:v>
      </x:c>
      <x:c r="D51" s="28" t="str">
        <x:v>Two or more people across reviewed studies</x:v>
      </x:c>
      <x:c r="E51" s="28" t="str">
        <x:v>Systematic review of physiological synchrony in social contexts</x:v>
      </x:c>
      <x:c r="F51" s="28" t="str">
        <x:v>Various across literature</x:v>
      </x:c>
      <x:c r="G51" s="28" t="str">
        <x:v>Autonomic measures</x:v>
      </x:c>
      <x:c r="H51" s="28" t="str">
        <x:v>EDA represented</x:v>
      </x:c>
      <x:c r="I51" s="28" t="str">
        <x:v>Various</x:v>
      </x:c>
      <x:c r="J51" s="28" t="str">
        <x:v>No focus</x:v>
      </x:c>
      <x:c r="K51" s="28" t="str">
        <x:v>Various</x:v>
      </x:c>
      <x:c r="L51" s="28" t="str">
        <x:v>Various</x:v>
      </x:c>
      <x:c r="M51" s="28" t="str">
        <x:v>Yes — field-level evidence</x:v>
      </x:c>
      <x:c r="N51" s="28" t="str">
        <x:v>Mixed</x:v>
      </x:c>
      <x:c r="O51" s="28" t="str">
        <x:v>Mixed psychosocial measures</x:v>
      </x:c>
      <x:c r="P51" s="28" t="str">
        <x:v>Mixed</x:v>
      </x:c>
      <x:c r="Q51" s="28" t="str">
        <x:v>Mixed</x:v>
      </x:c>
      <x:c r="R51" s="28" t="str">
        <x:v>Review of continuous interpersonal autonomic dynamics and synchrony methodologies</x:v>
      </x:c>
      <x:c r="S51" s="28" t="str">
        <x:v>Article/review</x:v>
      </x:c>
      <x:c r="T51" s="28" t="str">
        <x:v>Shows multi-person autonomic synchrony is an established field, not itself novel</x:v>
      </x:c>
      <x:c r="U51" s="28" t="str">
        <x:v>Does not provide ARL-like multimodal decision dataset; mainly framework/methodological context</x:v>
      </x:c>
      <x:c r="V51" s="28" t="str">
        <x:v>Primary-source verified</x:v>
      </x:c>
      <x:c r="W51" s="28" t="str">
        <x:v>https://doi.org/10.1177/1088868316628405</x:v>
      </x:c>
      <x:c r="X51" s="28" t="str">
        <x:v>https://pubmed.ncbi.nlm.nih.gov/26921410/</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52" hidden="0" customWidth="1"/>
    <x:col min="2" max="2" width="19" hidden="0" customWidth="1"/>
    <x:col min="3" max="3" width="19" hidden="0" customWidth="1"/>
    <x:col min="4" max="4" width="78" hidden="0" customWidth="1"/>
    <x:col min="6" max="6" width="24" hidden="0" customWidth="1"/>
    <x:col min="7" max="7" width="24" hidden="0" customWidth="1"/>
    <x:col min="8" max="8" width="24" hidden="0" customWidth="1"/>
  </x:cols>
  <x:sheetData>
    <x:row r="1">
      <x:c r="A1" s="39" t="str">
        <x:v>ARL Dimension</x:v>
      </x:c>
      <x:c r="B1" s="39" t="str">
        <x:v>Audited Comparators with Feature</x:v>
      </x:c>
      <x:c r="C1" s="39" t="str">
        <x:v>Audited N</x:v>
      </x:c>
      <x:c r="D1" s="39" t="str">
        <x:v>Interpretation after 50-comparator audit</x:v>
      </x:c>
      <x:c r="F1" s="40" t="str">
        <x:v>What changed from 25 → 50 comparators</x:v>
      </x:c>
    </x:row>
    <x:row r="2" ht="110" customHeight="1">
      <x:c r="A2" s="16" t="str">
        <x:v>EEG / neural electrophysiology</x:v>
      </x:c>
      <x:c r="B2" s="16" t="n">
        <x:v>18</x:v>
      </x:c>
      <x:c r="C2" s="16" t="n">
        <x:v>50</x:v>
      </x:c>
      <x:c r="D2" s="16" t="str">
        <x:v>Common as a standalone modality; cannot support novelty by itself.</x:v>
      </x:c>
      <x:c r="F2" s="16" t="str">
        <x:v>The second audit broadened coverage beyond the closest five datasets into affect/stress databases, natural group-interaction corpora, confidence-sharing experiments, hidden-profile decision studies, and physiological-synchrony literature. The gap is becoming more specific: multi-person interaction, confidence, multimodal physiology, and deception all exist separately, but their intersection remains unrepresented in the 50 audited records.</x:v>
      </x:c>
    </x:row>
    <x:row r="3">
      <x:c r="A3" s="16" t="str">
        <x:v>Cardiac physiology (ECG/PPG/HR/HRV)</x:v>
      </x:c>
      <x:c r="B3" s="16" t="n">
        <x:v>21</x:v>
      </x:c>
      <x:c r="C3" s="16" t="n">
        <x:v>50</x:v>
      </x:c>
      <x:c r="D3" s="16" t="str">
        <x:v>Very common across affect, stress and team-physiology literature.</x:v>
      </x:c>
    </x:row>
    <x:row r="4">
      <x:c r="A4" s="16" t="str">
        <x:v>EDA / GSR</x:v>
      </x:c>
      <x:c r="B4" s="16" t="n">
        <x:v>17</x:v>
      </x:c>
      <x:c r="C4" s="16" t="n">
        <x:v>50</x:v>
      </x:c>
      <x:c r="D4" s="16" t="str">
        <x:v>Common in physiological datasets but much less common in live multi-person decision studies.</x:v>
      </x:c>
    </x:row>
    <x:row r="5">
      <x:c r="A5" s="16" t="str">
        <x:v>EMG</x:v>
      </x:c>
      <x:c r="B5" s="16" t="n">
        <x:v>8</x:v>
      </x:c>
      <x:c r="C5" s="16" t="n">
        <x:v>50</x:v>
      </x:c>
      <x:c r="D5" s="16" t="str">
        <x:v>Less common; mostly appears in affect/pain/team-physiology datasets.</x:v>
      </x:c>
    </x:row>
    <x:row r="6">
      <x:c r="A6" s="16" t="str">
        <x:v>Eye tracking</x:v>
      </x:c>
      <x:c r="B6" s="16" t="n">
        <x:v>6</x:v>
      </x:c>
      <x:c r="C6" s="16" t="n">
        <x:v>50</x:v>
      </x:c>
      <x:c r="D6" s="16" t="str">
        <x:v>Still relatively uncommon among decision/social-interaction comparators.</x:v>
      </x:c>
    </x:row>
    <x:row r="7">
      <x:c r="A7" s="16" t="str">
        <x:v>Audio / speech</x:v>
      </x:c>
      <x:c r="B7" s="16" t="n">
        <x:v>19</x:v>
      </x:c>
      <x:c r="C7" s="16" t="n">
        <x:v>50</x:v>
      </x:c>
      <x:c r="D7" s="16" t="str">
        <x:v>Common in interaction corpora, but usually without broad physiology.</x:v>
      </x:c>
    </x:row>
    <x:row r="8">
      <x:c r="A8" s="16" t="str">
        <x:v>Video / visual behavior</x:v>
      </x:c>
      <x:c r="B8" s="16" t="n">
        <x:v>21</x:v>
      </x:c>
      <x:c r="C8" s="16" t="n">
        <x:v>50</x:v>
      </x:c>
      <x:c r="D8" s="16" t="str">
        <x:v>Common in social/affective corpora; often absent from neural decision studies.</x:v>
      </x:c>
    </x:row>
    <x:row r="9">
      <x:c r="A9" s="16" t="str">
        <x:v>Live interpersonal interaction</x:v>
      </x:c>
      <x:c r="B9" s="16" t="n">
        <x:v>22</x:v>
      </x:c>
      <x:c r="C9" s="16" t="n">
        <x:v>50</x:v>
      </x:c>
      <x:c r="D9" s="16" t="str">
        <x:v>Well established; ARL cannot claim novelty from interaction alone.</x:v>
      </x:c>
    </x:row>
    <x:row r="10">
      <x:c r="A10" s="16" t="str">
        <x:v>Explicit decision-making</x:v>
      </x:c>
      <x:c r="B10" s="16" t="n">
        <x:v>21</x:v>
      </x:c>
      <x:c r="C10" s="16" t="n">
        <x:v>50</x:v>
      </x:c>
      <x:c r="D10" s="16" t="str">
        <x:v>Well established across social, economic and group paradigms.</x:v>
      </x:c>
    </x:row>
    <x:row r="11">
      <x:c r="A11" s="16" t="str">
        <x:v>Explicit confidence measurement / sharing</x:v>
      </x:c>
      <x:c r="B11" s="16" t="n">
        <x:v>7</x:v>
      </x:c>
      <x:c r="C11" s="16" t="n">
        <x:v>50</x:v>
      </x:c>
      <x:c r="D11" s="16" t="str">
        <x:v>Remains uncommon, especially when combined with physiology and group interaction.</x:v>
      </x:c>
    </x:row>
    <x:row r="12">
      <x:c r="A12" s="16" t="str">
        <x:v>Deception / social deduction / strategic misinformation</x:v>
      </x:c>
      <x:c r="B12" s="16" t="n">
        <x:v>5</x:v>
      </x:c>
      <x:c r="C12" s="16" t="n">
        <x:v>50</x:v>
      </x:c>
      <x:c r="D12" s="16" t="str">
        <x:v>Still concentrated in separate deception/game datasets rather than broad synchronized group physiology.</x:v>
      </x:c>
    </x:row>
    <x:row r="13">
      <x:c r="A13" s="16" t="str">
        <x:v>Repeated / multi-round decisions or repeated task cycles</x:v>
      </x:c>
      <x:c r="B13" s="16" t="n">
        <x:v>20</x:v>
      </x:c>
      <x:c r="C13" s="16" t="n">
        <x:v>50</x:v>
      </x:c>
      <x:c r="D13" s="16" t="str">
        <x:v>Common enough individually; novelty depends on combination with other dimensions.</x:v>
      </x:c>
    </x:row>
    <x:row r="14">
      <x:c r="A14" s="16" t="str">
        <x:v>Simultaneous multi-person physiology/neural recording (&gt;=2 people)</x:v>
      </x:c>
      <x:c r="B14" s="16" t="n">
        <x:v>10</x:v>
      </x:c>
      <x:c r="C14" s="16" t="n">
        <x:v>50</x:v>
      </x:c>
      <x:c r="D14" s="16" t="str">
        <x:v>Established via hyperscanning and team physiology, usually with narrow modality sets.</x:v>
      </x:c>
    </x:row>
    <x:row r="15">
      <x:c r="A15" s="16" t="str">
        <x:v>Group size &gt;=3 with simultaneous sensing or behavior capture</x:v>
      </x:c>
      <x:c r="B15" s="16" t="n">
        <x:v>10</x:v>
      </x:c>
      <x:c r="C15" s="16" t="n">
        <x:v>50</x:v>
      </x:c>
      <x:c r="D15" s="16" t="str">
        <x:v>Less common than dyadic work; stronger ARL-relevant axis.</x:v>
      </x:c>
    </x:row>
    <x:row r="16">
      <x:c r="A16" s="16" t="str">
        <x:v>Broad sensing stack (&gt;=5 ARL-relevant sensing/behavior modalities)</x:v>
      </x:c>
      <x:c r="B16" s="16" t="n">
        <x:v>10</x:v>
      </x:c>
      <x:c r="C16" s="16" t="n">
        <x:v>50</x:v>
      </x:c>
      <x:c r="D16" s="16" t="str">
        <x:v>Exists mainly in individual affect/deception datasets, not interactive group decisions.</x:v>
      </x:c>
    </x:row>
    <x:row r="17">
      <x:c r="A17" s="16" t="str">
        <x:v>Explicit synchronized multimodal acquisition framework</x:v>
      </x:c>
      <x:c r="B17" s="16" t="n">
        <x:v>16</x:v>
      </x:c>
      <x:c r="C17" s="16" t="n">
        <x:v>50</x:v>
      </x:c>
      <x:c r="D17" s="16" t="str">
        <x:v>Synchronization is common in datasets, but implementation depth varies widely.</x:v>
      </x:c>
    </x:row>
    <x:row r="18">
      <x:c r="A18" s="16" t="str">
        <x:v>LSL explicitly reported</x:v>
      </x:c>
      <x:c r="B18" s="16" t="n">
        <x:v>1</x:v>
      </x:c>
      <x:c r="C18" s="16" t="n">
        <x:v>50</x:v>
      </x:c>
      <x:c r="D18" s="16" t="str">
        <x:v>GroupAffect-4 remains the clearest close LSL-based group comparator in this audit.</x:v>
      </x:c>
    </x:row>
    <x:row r="19">
      <x:c r="A19" s="16" t="str">
        <x:v>Group &gt;=3 + explicit decision + confidence</x:v>
      </x:c>
      <x:c r="B19" s="16" t="n">
        <x:v>2</x:v>
      </x:c>
      <x:c r="C19" s="16" t="n">
        <x:v>50</x:v>
      </x:c>
      <x:c r="D19" s="16" t="str">
        <x:v>Rare; current examples generally lack broad physiological sensing.</x:v>
      </x:c>
    </x:row>
    <x:row r="20">
      <x:c r="A20" s="16" t="str">
        <x:v>Group &gt;=3 + broad physiology/neural sensing + live decisions</x:v>
      </x:c>
      <x:c r="B20" s="16" t="n">
        <x:v>1</x:v>
      </x:c>
      <x:c r="C20" s="16" t="n">
        <x:v>50</x:v>
      </x:c>
      <x:c r="D20" s="16" t="str">
        <x:v>Very rare in audited literature and still lacks ARL's full modality/behavior structure.</x:v>
      </x:c>
    </x:row>
    <x:row r="21">
      <x:c r="A21" s="16" t="str">
        <x:v>Group &gt;=3 + deception/social deduction + broad synchronized physiology</x:v>
      </x:c>
      <x:c r="B21" s="16" t="n">
        <x:v>0</x:v>
      </x:c>
      <x:c r="C21" s="16" t="n">
        <x:v>50</x:v>
      </x:c>
      <x:c r="D21" s="16" t="str">
        <x:v>No audited comparator currently combines these dimensions.</x:v>
      </x:c>
    </x:row>
    <x:row r="22">
      <x:c r="A22" s="16" t="str">
        <x:v>Full ARL-like intersection: group &gt;=3 + neural/peripheral physiology + eye + audio/video + repeated decisions + confidence + deception</x:v>
      </x:c>
      <x:c r="B22" s="16" t="n">
        <x:v>0</x:v>
      </x:c>
      <x:c r="C22" s="16" t="n">
        <x:v>50</x:v>
      </x:c>
      <x:c r="D22" s="16" t="str">
        <x:v>No match among 50 audited comparators. This remains a working evidence-gap hypothesis pending formal systematic search.</x:v>
      </x:c>
    </x:row>
  </x:sheetData>
  <x:mergeCells>
    <x:mergeCell ref="F1:H1"/>
    <x:mergeCell ref="F2:H7"/>
  </x:mergeCells>
  <x:pageMargins left="0.7" right="0.7" top="0.75" bottom="0.75" header="0.3" footer="0.3"/>
</x:worksheet>
</file>

<file path=xl/worksheets/sheet17.xml><?xml version="1.0" encoding="utf-8"?>
<x:worksheet xmlns:x="http://schemas.openxmlformats.org/spreadsheetml/2006/main">
  <x:sheetFormatPr defaultRowHeight="15"/>
  <x:cols>
    <x:col min="1" max="1" width="11" hidden="0" customWidth="1"/>
    <x:col min="2" max="2" width="34" hidden="0" customWidth="1"/>
    <x:col min="3" max="3" width="48" hidden="0" customWidth="1"/>
    <x:col min="4" max="4" width="10" hidden="0" customWidth="1"/>
    <x:col min="5" max="5" width="24" hidden="0" customWidth="1"/>
    <x:col min="6" max="6" width="42"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20" hidden="0" customWidth="1"/>
    <x:col min="15" max="15" width="22" hidden="0" customWidth="1"/>
    <x:col min="16" max="16" width="28" hidden="0" customWidth="1"/>
    <x:col min="17" max="17" width="40" hidden="0" customWidth="1"/>
    <x:col min="18" max="18" width="30" hidden="0" customWidth="1"/>
    <x:col min="19" max="19" width="50" hidden="0" customWidth="1"/>
    <x:col min="20" max="20" width="48" hidden="0" customWidth="1"/>
    <x:col min="21" max="21" width="48" hidden="0" customWidth="1"/>
    <x:col min="22" max="22" width="24" hidden="0" customWidth="1"/>
  </x:cols>
  <x:sheetData>
    <x:row r="1">
      <x:c r="A1" s="43" t="str">
        <x:v>Challenge ID</x:v>
      </x:c>
      <x:c r="B1" s="43" t="str">
        <x:v>Targeted Gap</x:v>
      </x:c>
      <x:c r="C1" s="43" t="str">
        <x:v>Study / Dataset</x:v>
      </x:c>
      <x:c r="D1" s="43" t="str">
        <x:v>Year</x:v>
      </x:c>
      <x:c r="E1" s="43" t="str">
        <x:v>Participants / Group Size</x:v>
      </x:c>
      <x:c r="F1" s="43" t="str">
        <x:v>Decision / Interaction Paradigm</x:v>
      </x:c>
      <x:c r="G1" s="43" t="str">
        <x:v>Neural</x:v>
      </x:c>
      <x:c r="H1" s="43" t="str">
        <x:v>Cardiac</x:v>
      </x:c>
      <x:c r="I1" s="43" t="str">
        <x:v>EDA/GSR</x:v>
      </x:c>
      <x:c r="J1" s="43" t="str">
        <x:v>EMG</x:v>
      </x:c>
      <x:c r="K1" s="43" t="str">
        <x:v>Eye Tracking</x:v>
      </x:c>
      <x:c r="L1" s="43" t="str">
        <x:v>Audio</x:v>
      </x:c>
      <x:c r="M1" s="43" t="str">
        <x:v>Video</x:v>
      </x:c>
      <x:c r="N1" s="43" t="str">
        <x:v>Repeated / Multi-round</x:v>
      </x:c>
      <x:c r="O1" s="43" t="str">
        <x:v>Confidence</x:v>
      </x:c>
      <x:c r="P1" s="43" t="str">
        <x:v>Deception / Hidden Adversary</x:v>
      </x:c>
      <x:c r="Q1" s="43" t="str">
        <x:v>Synchronization</x:v>
      </x:c>
      <x:c r="R1" s="43" t="str">
        <x:v>How Strongly It Challenges ARL</x:v>
      </x:c>
      <x:c r="S1" s="43" t="str">
        <x:v>Why It Still Differs from ARL</x:v>
      </x:c>
      <x:c r="T1" s="43" t="str">
        <x:v>Primary Source</x:v>
      </x:c>
      <x:c r="U1" s="43" t="str">
        <x:v>Data Source</x:v>
      </x:c>
      <x:c r="V1" s="43" t="str">
        <x:v>Status</x:v>
      </x:c>
    </x:row>
    <x:row r="2">
      <x:c r="A2" s="28" t="str">
        <x:v>GC-01</x:v>
      </x:c>
      <x:c r="B2" s="28" t="str">
        <x:v>Group ≥3 + synchronized physiology + decision</x:v>
      </x:c>
      <x:c r="C2" s="28" t="str">
        <x:v>Dataset of physiological, behavioral, and self-report measures from a group decision-making lab study</x:v>
      </x:c>
      <x:c r="D2" s="28" t="n">
        <x:v>2022</x:v>
      </x:c>
      <x:c r="E2" s="28" t="str">
        <x:v>60; 20 groups of 3</x:v>
      </x:c>
      <x:c r="F2" s="28" t="str">
        <x:v>Desert Survival Task: individual ranking followed by face-to-face group consensus ranking</x:v>
      </x:c>
      <x:c r="G2" s="28" t="str">
        <x:v>No</x:v>
      </x:c>
      <x:c r="H2" s="28" t="str">
        <x:v>ECG + respiration</x:v>
      </x:c>
      <x:c r="I2" s="28" t="str">
        <x:v>EDA</x:v>
      </x:c>
      <x:c r="J2" s="28" t="str">
        <x:v>No</x:v>
      </x:c>
      <x:c r="K2" s="28" t="str">
        <x:v>No</x:v>
      </x:c>
      <x:c r="L2" s="28" t="str">
        <x:v>Behavioral interaction/audio referenced in related study</x:v>
      </x:c>
      <x:c r="M2" s="28" t="str">
        <x:v>Multi-angle video</x:v>
      </x:c>
      <x:c r="N2" s="28" t="str">
        <x:v>Single group decision episode</x:v>
      </x:c>
      <x:c r="O2" s="28" t="str">
        <x:v>No</x:v>
      </x:c>
      <x:c r="P2" s="28" t="str">
        <x:v>No</x:v>
      </x:c>
      <x:c r="Q2" s="28" t="str">
        <x:v>All three participants' physiology recorded simultaneously and in synchrony with video; MindWare 500 Hz</x:v>
      </x:c>
      <x:c r="R2" s="28" t="str">
        <x:v>Very strong</x:v>
      </x:c>
      <x:c r="S2" s="28" t="str">
        <x:v>No EEG, EMG, eye tracking; no repeated rounds, confidence, or deception</x:v>
      </x:c>
      <x:c r="T2" s="28" t="str">
        <x:v>https://doi.org/10.1016/j.dib.2022.108630</x:v>
      </x:c>
      <x:c r="U2" s="28" t="str">
        <x:v>https://data.mendeley.com/datasets/w8h752hbw5/4</x:v>
      </x:c>
      <x:c r="V2" s="28" t="str">
        <x:v>New direct comparator</x:v>
      </x:c>
    </x:row>
    <x:row r="3">
      <x:c r="A3" s="28" t="str">
        <x:v>GC-02</x:v>
      </x:c>
      <x:c r="B3" s="28" t="str">
        <x:v>Group ≥3 + EEG + repeated interaction + deception + LSL</x:v>
      </x:c>
      <x:c r="C3" s="28" t="str">
        <x:v>Analysis of inter-brain synchrony in group-based electroencephalography to assess task-dependent interactions</x:v>
      </x:c>
      <x:c r="D3" s="28" t="n">
        <x:v>2026</x:v>
      </x:c>
      <x:c r="E3" s="28" t="str">
        <x:v>36; groups of 3</x:v>
      </x:c>
      <x:c r="F3" s="28" t="str">
        <x:v>Cooperative card game ('The Mind') with repeated rounds; one hidden adversary secretly sabotages half the cooperative rounds in Experiment 2</x:v>
      </x:c>
      <x:c r="G3" s="28" t="str">
        <x:v>24-ch EEG per participant</x:v>
      </x:c>
      <x:c r="H3" s="28" t="str">
        <x:v>No</x:v>
      </x:c>
      <x:c r="I3" s="28" t="str">
        <x:v>No</x:v>
      </x:c>
      <x:c r="J3" s="28" t="str">
        <x:v>No</x:v>
      </x:c>
      <x:c r="K3" s="28" t="str">
        <x:v>No</x:v>
      </x:c>
      <x:c r="L3" s="28" t="str">
        <x:v>No verbal communication allowed</x:v>
      </x:c>
      <x:c r="M3" s="28" t="str">
        <x:v>Gameplay-area video</x:v>
      </x:c>
      <x:c r="N3" s="28" t="str">
        <x:v>Yes; 4–6 cooperative rounds per block</x:v>
      </x:c>
      <x:c r="O3" s="28" t="str">
        <x:v>No</x:v>
      </x:c>
      <x:c r="P3" s="28" t="str">
        <x:v>Yes — hidden adversary</x:v>
      </x:c>
      <x:c r="Q3" s="28" t="str">
        <x:v>Three EEG systems + keyboard event markers + camera synchronized through LSL over WLAN</x:v>
      </x:c>
      <x:c r="R3" s="28" t="str">
        <x:v>Extremely strong — closest gap challenger found</x:v>
      </x:c>
      <x:c r="S3" s="28" t="str">
        <x:v>No ECG/EDA/EMG/eye tracking/audio; no explicit confidence; task forbids verbal interaction; group size 3 not 5</x:v>
      </x:c>
      <x:c r="T3" s="28" t="str">
        <x:v>https://doi.org/10.3389/fnrgo.2026.1774423</x:v>
      </x:c>
      <x:c r="U3" s="28" t="str"/>
      <x:c r="V3" s="28" t="str">
        <x:v>New top-tier comparator</x:v>
      </x:c>
    </x:row>
    <x:row r="4">
      <x:c r="A4" s="28" t="str">
        <x:v>GC-03</x:v>
      </x:c>
      <x:c r="B4" s="28" t="str">
        <x:v>Group ≥3 + EEG + group decision + video</x:v>
      </x:c>
      <x:c r="C4" s="28" t="str">
        <x:v>Be Creative to Innovate! EEG Correlates of Group Decision-Making in Managers</x:v>
      </x:c>
      <x:c r="D4" s="28" t="n">
        <x:v>2024</x:v>
      </x:c>
      <x:c r="E4" s="28" t="str">
        <x:v>Participants assigned to triplets</x:v>
      </x:c>
      <x:c r="F4" s="28" t="str">
        <x:v>Realistic Complex Problem Task; individual selection then 10-min group negotiation to consensus</x:v>
      </x:c>
      <x:c r="G4" s="28" t="str">
        <x:v>Muse 2 EEG</x:v>
      </x:c>
      <x:c r="H4" s="28" t="str">
        <x:v>No</x:v>
      </x:c>
      <x:c r="I4" s="28" t="str">
        <x:v>No</x:v>
      </x:c>
      <x:c r="J4" s="28" t="str">
        <x:v>No</x:v>
      </x:c>
      <x:c r="K4" s="28" t="str">
        <x:v>No</x:v>
      </x:c>
      <x:c r="L4" s="28" t="str">
        <x:v>Discussion</x:v>
      </x:c>
      <x:c r="M4" s="28" t="str">
        <x:v>Video</x:v>
      </x:c>
      <x:c r="N4" s="28" t="str">
        <x:v>Individual + one group phase</x:v>
      </x:c>
      <x:c r="O4" s="28" t="str">
        <x:v>Creativity/self-report; no decision confidence</x:v>
      </x:c>
      <x:c r="P4" s="28" t="str">
        <x:v>No</x:v>
      </x:c>
      <x:c r="Q4" s="28" t="str">
        <x:v>EEG recorded continuously; video during task</x:v>
      </x:c>
      <x:c r="R4" s="28" t="str">
        <x:v>Strong</x:v>
      </x:c>
      <x:c r="S4" s="28" t="str">
        <x:v>EEG-only physiology; no peripheral physiology, eye tracking, deception, repeated rounds or confidence</x:v>
      </x:c>
      <x:c r="T4" s="28" t="str">
        <x:v>https://doi.org/10.3390/su16052175</x:v>
      </x:c>
      <x:c r="U4" s="28" t="str"/>
      <x:c r="V4" s="28" t="str">
        <x:v>New comparator</x:v>
      </x:c>
    </x:row>
    <x:row r="5">
      <x:c r="A5" s="28" t="str">
        <x:v>GC-04</x:v>
      </x:c>
      <x:c r="B5" s="28" t="str">
        <x:v>Group ≥3 + eye tracking + group decision</x:v>
      </x:c>
      <x:c r="C5" s="28" t="str">
        <x:v>Cognitive factors on the performance of group decision-making: a behavioral and eye-tracking study</x:v>
      </x:c>
      <x:c r="D5" s="28" t="n">
        <x:v>2025</x:v>
      </x:c>
      <x:c r="E5" s="28" t="str">
        <x:v>72; 24 groups of 3</x:v>
      </x:c>
      <x:c r="F5" s="28" t="str">
        <x:v>Multi-attribute decision-making task with individual and group decision phases</x:v>
      </x:c>
      <x:c r="G5" s="28" t="str">
        <x:v>No</x:v>
      </x:c>
      <x:c r="H5" s="28" t="str">
        <x:v>No</x:v>
      </x:c>
      <x:c r="I5" s="28" t="str">
        <x:v>No</x:v>
      </x:c>
      <x:c r="J5" s="28" t="str">
        <x:v>No</x:v>
      </x:c>
      <x:c r="K5" s="28" t="str">
        <x:v>EyeLogic 60 Hz</x:v>
      </x:c>
      <x:c r="L5" s="28" t="str">
        <x:v>Screen recording with audio</x:v>
      </x:c>
      <x:c r="M5" s="28" t="str">
        <x:v>Screen recording</x:v>
      </x:c>
      <x:c r="N5" s="28" t="str">
        <x:v>Multiple alternatives/decision phases</x:v>
      </x:c>
      <x:c r="O5" s="28" t="str">
        <x:v>Decision satisfaction and cognitive factors; no trial confidence</x:v>
      </x:c>
      <x:c r="P5" s="28" t="str">
        <x:v>No</x:v>
      </x:c>
      <x:c r="Q5" s="28" t="str">
        <x:v>Experiment Center software synchronized decision-process recording and eye tracking</x:v>
      </x:c>
      <x:c r="R5" s="28" t="str">
        <x:v>Strong modality-specific challenge</x:v>
      </x:c>
      <x:c r="S5" s="28" t="str">
        <x:v>No physiology/neural signals beyond gaze; no deception; eye tracking is workstation-based</x:v>
      </x:c>
      <x:c r="T5" s="28" t="str">
        <x:v>https://doi.org/10.3389/fnhum.2025.1551447</x:v>
      </x:c>
      <x:c r="U5" s="28" t="str"/>
      <x:c r="V5" s="28" t="str">
        <x:v>New comparator</x:v>
      </x:c>
    </x:row>
    <x:row r="6">
      <x:c r="A6" s="28" t="str">
        <x:v>GC-05</x:v>
      </x:c>
      <x:c r="B6" s="28" t="str">
        <x:v>Group size 5 + physiology + strategic influence + consensus</x:v>
      </x:c>
      <x:c r="C6" s="28" t="str">
        <x:v>Influencing the physiology and decisions of groups: Physiological linkage during group decision-making</x:v>
      </x:c>
      <x:c r="D6" s="28" t="n">
        <x:v>2021</x:v>
      </x:c>
      <x:c r="E6" s="28" t="str">
        <x:v>Groups of 5</x:v>
      </x:c>
      <x:c r="F6" s="28" t="str">
        <x:v>Consensus choice of one of five firms; high- and low-status members secretly instructed to advocate different firms</x:v>
      </x:c>
      <x:c r="G6" s="28" t="str">
        <x:v>No</x:v>
      </x:c>
      <x:c r="H6" s="28" t="str">
        <x:v>Cardiac interbeat interval</x:v>
      </x:c>
      <x:c r="I6" s="28" t="str">
        <x:v>No</x:v>
      </x:c>
      <x:c r="J6" s="28" t="str">
        <x:v>No</x:v>
      </x:c>
      <x:c r="K6" s="28" t="str">
        <x:v>No</x:v>
      </x:c>
      <x:c r="L6" s="28" t="str">
        <x:v>Natural discussion</x:v>
      </x:c>
      <x:c r="M6" s="28" t="str">
        <x:v>Not central/release unclear</x:v>
      </x:c>
      <x:c r="N6" s="28" t="str">
        <x:v>Single consensus task</x:v>
      </x:c>
      <x:c r="O6" s="28" t="str">
        <x:v>No</x:v>
      </x:c>
      <x:c r="P6" s="28" t="str">
        <x:v>Strategic hidden instruction / persuasion (not role deception)</x:v>
      </x:c>
      <x:c r="Q6" s="28" t="str">
        <x:v>Cardiac activity recorded continuously from all five participants</x:v>
      </x:c>
      <x:c r="R6" s="28" t="str">
        <x:v>Very strong conceptual challenge</x:v>
      </x:c>
      <x:c r="S6" s="28" t="str">
        <x:v>Only cardiac physiology; no EEG/EDA/EMG/eye/audio-video dataset; no repeated rounds or confidence</x:v>
      </x:c>
      <x:c r="T6" s="28" t="str">
        <x:v>https://doi.org/10.1177/1368430219890909</x:v>
      </x:c>
      <x:c r="U6" s="28" t="str"/>
      <x:c r="V6" s="28" t="str">
        <x:v>New top-tier comparator</x:v>
      </x:c>
    </x:row>
    <x:row r="7">
      <x:c r="A7" s="28" t="str">
        <x:v>GC-06</x:v>
      </x:c>
      <x:c r="B7" s="28" t="str">
        <x:v>Group ≥3 + EEG + audio</x:v>
      </x:c>
      <x:c r="C7" s="28" t="str">
        <x:v>EEG hyperscanning data of 13 groups of three people engaging in different types of conversations</x:v>
      </x:c>
      <x:c r="D7" s="28" t="n">
        <x:v>2026</x:v>
      </x:c>
      <x:c r="E7" s="28" t="str">
        <x:v>13 groups of 3</x:v>
      </x:c>
      <x:c r="F7" s="28" t="str">
        <x:v>Three elicited conversation types</x:v>
      </x:c>
      <x:c r="G7" s="28" t="str">
        <x:v>32-ch EEG ×3</x:v>
      </x:c>
      <x:c r="H7" s="28" t="str">
        <x:v>No</x:v>
      </x:c>
      <x:c r="I7" s="28" t="str">
        <x:v>No</x:v>
      </x:c>
      <x:c r="J7" s="28" t="str">
        <x:v>No</x:v>
      </x:c>
      <x:c r="K7" s="28" t="str">
        <x:v>No</x:v>
      </x:c>
      <x:c r="L7" s="28" t="str">
        <x:v>3 directional + 1 omnidirectional microphones</x:v>
      </x:c>
      <x:c r="M7" s="28" t="str">
        <x:v>No</x:v>
      </x:c>
      <x:c r="N7" s="28" t="str">
        <x:v>12 trial segments per experiment release</x:v>
      </x:c>
      <x:c r="O7" s="28" t="str">
        <x:v>No</x:v>
      </x:c>
      <x:c r="P7" s="28" t="str">
        <x:v>No</x:v>
      </x:c>
      <x:c r="Q7" s="28" t="str">
        <x:v>EEG/audio trial alignment in released HDF5; raw EEG 2500 Hz, resampled to 100 Hz; audio 44.1 kHz</x:v>
      </x:c>
      <x:c r="R7" s="28" t="str">
        <x:v>Strong sensing/interaction challenge</x:v>
      </x:c>
      <x:c r="S7" s="28" t="str">
        <x:v>No decision-making, deception, confidence, peripheral physiology, eye tracking or video</x:v>
      </x:c>
      <x:c r="T7" s="28" t="str">
        <x:v>https://zenodo.org/records/21643064</x:v>
      </x:c>
      <x:c r="U7" s="28" t="str">
        <x:v>https://zenodo.org/records/21643064</x:v>
      </x:c>
      <x:c r="V7" s="28" t="str">
        <x:v>New comparator</x:v>
      </x:c>
    </x:row>
    <x:row r="8">
      <x:c r="A8" s="28" t="str">
        <x:v>GC-07</x:v>
      </x:c>
      <x:c r="B8" s="28" t="str">
        <x:v>Group ≥3 + EDA + group decision rules</x:v>
      </x:c>
      <x:c r="C8" s="28" t="str">
        <x:v>An Experimental Physiological Approach to Group Decision Making: Consensus Rule vs Majority Rule</x:v>
      </x:c>
      <x:c r="D8" s="28" t="n">
        <x:v>2012</x:v>
      </x:c>
      <x:c r="E8" s="28" t="str">
        <x:v>Three-person groups; preliminary extension to 5</x:v>
      </x:c>
      <x:c r="F8" s="28" t="str">
        <x:v>Group problem solving under majority vs consensus decision rules</x:v>
      </x:c>
      <x:c r="G8" s="28" t="str">
        <x:v>No</x:v>
      </x:c>
      <x:c r="H8" s="28" t="str">
        <x:v>No</x:v>
      </x:c>
      <x:c r="I8" s="28" t="str">
        <x:v>EDA/GSR</x:v>
      </x:c>
      <x:c r="J8" s="28" t="str">
        <x:v>No</x:v>
      </x:c>
      <x:c r="K8" s="28" t="str">
        <x:v>No</x:v>
      </x:c>
      <x:c r="L8" s="28" t="str">
        <x:v>Utterance counts</x:v>
      </x:c>
      <x:c r="M8" s="28" t="str">
        <x:v>No</x:v>
      </x:c>
      <x:c r="N8" s="28" t="str">
        <x:v>Discussion task</x:v>
      </x:c>
      <x:c r="O8" s="28" t="str">
        <x:v>Self-reports collected</x:v>
      </x:c>
      <x:c r="P8" s="28" t="str">
        <x:v>No</x:v>
      </x:c>
      <x:c r="Q8" s="28" t="str">
        <x:v>Physiological and behavioral task recording</x:v>
      </x:c>
      <x:c r="R8" s="28" t="str">
        <x:v>Moderate</x:v>
      </x:c>
      <x:c r="S8" s="28" t="str">
        <x:v>EDA only; limited multimodality; older study; no EEG/eye/audio-video capture, confidence or deception</x:v>
      </x:c>
      <x:c r="T8" s="28" t="str">
        <x:v>https://doi.org/10.1016/j.protcy.2012.09.052</x:v>
      </x:c>
      <x:c r="U8" s="28" t="str"/>
      <x:c r="V8" s="28" t="str">
        <x:v>New comparator</x:v>
      </x:c>
    </x:row>
    <x:row r="9">
      <x:c r="A9" s="28" t="str">
        <x:v>GC-08</x:v>
      </x:c>
      <x:c r="B9" s="28" t="str">
        <x:v>Group ≥3 + confidence + collective decision</x:v>
      </x:c>
      <x:c r="C9" s="28" t="str">
        <x:v>Action-based confidence sharing and collective decision making</x:v>
      </x:c>
      <x:c r="D9" s="28" t="n">
        <x:v>2024</x:v>
      </x:c>
      <x:c r="E9" s="28" t="str">
        <x:v>Groups of 2, 3, and 4</x:v>
      </x:c>
      <x:c r="F9" s="28" t="str">
        <x:v>Movement-based consensus decisions under uncertainty</x:v>
      </x:c>
      <x:c r="G9" s="28" t="str">
        <x:v>No</x:v>
      </x:c>
      <x:c r="H9" s="28" t="str">
        <x:v>No</x:v>
      </x:c>
      <x:c r="I9" s="28" t="str">
        <x:v>No</x:v>
      </x:c>
      <x:c r="J9" s="28" t="str">
        <x:v>No</x:v>
      </x:c>
      <x:c r="K9" s="28" t="str">
        <x:v>No</x:v>
      </x:c>
      <x:c r="L9" s="28" t="str">
        <x:v>No</x:v>
      </x:c>
      <x:c r="M9" s="28" t="str">
        <x:v>Movement trajectories</x:v>
      </x:c>
      <x:c r="N9" s="28" t="str">
        <x:v>Yes</x:v>
      </x:c>
      <x:c r="O9" s="28" t="str">
        <x:v>Explicit confidence (1–4)</x:v>
      </x:c>
      <x:c r="P9" s="28" t="str">
        <x:v>No</x:v>
      </x:c>
      <x:c r="Q9" s="28" t="str">
        <x:v>Shared trial timing / movement trajectory recording</x:v>
      </x:c>
      <x:c r="R9" s="28" t="str">
        <x:v>Strong behavioral challenge</x:v>
      </x:c>
      <x:c r="S9" s="28" t="str">
        <x:v>No neural/peripheral physiology, audio/video discussion, deception or multimodal sensor stack</x:v>
      </x:c>
      <x:c r="T9" s="28" t="str">
        <x:v>https://doi.org/10.1016/j.isci.2024.111006</x:v>
      </x:c>
      <x:c r="U9" s="28" t="str"/>
      <x:c r="V9" s="28" t="str">
        <x:v>Already in 50 audit; gap-confirming</x:v>
      </x:c>
    </x:row>
    <x:row r="10">
      <x:c r="A10" s="28" t="str">
        <x:v>GC-09</x:v>
      </x:c>
      <x:c r="B10" s="28" t="str">
        <x:v>Deception + multimodal physiology + AV</x:v>
      </x:c>
      <x:c r="C10" s="28" t="str">
        <x:v>MuDD: A Multimodal Deception Detection Dataset</x:v>
      </x:c>
      <x:c r="D10" s="28" t="n">
        <x:v>2026</x:v>
      </x:c>
      <x:c r="E10" s="28" t="str">
        <x:v>130; individual</x:v>
      </x:c>
      <x:c r="F10" s="28" t="str">
        <x:v>Deception detection / concealed-digit identification</x:v>
      </x:c>
      <x:c r="G10" s="28" t="str">
        <x:v>No</x:v>
      </x:c>
      <x:c r="H10" s="28" t="str">
        <x:v>PPG + heart rate</x:v>
      </x:c>
      <x:c r="I10" s="28" t="str">
        <x:v>GSR</x:v>
      </x:c>
      <x:c r="J10" s="28" t="str">
        <x:v>No</x:v>
      </x:c>
      <x:c r="K10" s="28" t="str">
        <x:v>No</x:v>
      </x:c>
      <x:c r="L10" s="28" t="str">
        <x:v>Audio</x:v>
      </x:c>
      <x:c r="M10" s="28" t="str">
        <x:v>Video</x:v>
      </x:c>
      <x:c r="N10" s="28" t="str">
        <x:v>Multiple deception samples</x:v>
      </x:c>
      <x:c r="O10" s="28" t="str">
        <x:v>Personality traits; no decision confidence</x:v>
      </x:c>
      <x:c r="P10" s="28" t="str">
        <x:v>Yes</x:v>
      </x:c>
      <x:c r="Q10" s="28" t="str">
        <x:v>Multimodal synchronized dataset (paper-level description; exact alignment to verify)</x:v>
      </x:c>
      <x:c r="R10" s="28" t="str">
        <x:v>Strong deception-sensing challenge</x:v>
      </x:c>
      <x:c r="S10" s="28" t="str">
        <x:v>Individual rather than interactive group; no EEG/ECG/EMG/eye tracking; no group decisions/confidence</x:v>
      </x:c>
      <x:c r="T10" s="28" t="str">
        <x:v>https://arxiv.org/abs/2603.26064</x:v>
      </x:c>
      <x:c r="U10" s="28" t="str"/>
      <x:c r="V10" s="28" t="str">
        <x:v>New comparator</x:v>
      </x:c>
    </x:row>
    <x:row r="11">
      <x:c r="A11" s="28" t="str">
        <x:v>GC-10</x:v>
      </x:c>
      <x:c r="B11" s="28" t="str">
        <x:v>Triadic EEG cooperation/competition + repeated trials</x:v>
      </x:c>
      <x:c r="C11" s="28" t="str">
        <x:v>Unlocking interbrain neural signatures differences during triadic cooperation and competition: Evidence from EEG hyperscanning</x:v>
      </x:c>
      <x:c r="D11" s="28" t="n">
        <x:v>2026</x:v>
      </x:c>
      <x:c r="E11" s="28" t="str">
        <x:v>Groups of 3</x:v>
      </x:c>
      <x:c r="F11" s="28" t="str">
        <x:v>Cooperation vs competition task; two blocks of 20 trials with trial outcome/score feedback</x:v>
      </x:c>
      <x:c r="G11" s="28" t="str">
        <x:v>EEG hyperscanning</x:v>
      </x:c>
      <x:c r="H11" s="28" t="str">
        <x:v>No</x:v>
      </x:c>
      <x:c r="I11" s="28" t="str">
        <x:v>No</x:v>
      </x:c>
      <x:c r="J11" s="28" t="str">
        <x:v>No</x:v>
      </x:c>
      <x:c r="K11" s="28" t="str">
        <x:v>No</x:v>
      </x:c>
      <x:c r="L11" s="28" t="str">
        <x:v>No</x:v>
      </x:c>
      <x:c r="M11" s="28" t="str">
        <x:v>No</x:v>
      </x:c>
      <x:c r="N11" s="28" t="str">
        <x:v>Yes; 40 trials per condition structure</x:v>
      </x:c>
      <x:c r="O11" s="28" t="str">
        <x:v>No</x:v>
      </x:c>
      <x:c r="P11" s="28" t="str">
        <x:v>Competition, not hidden deception</x:v>
      </x:c>
      <x:c r="Q11" s="28" t="str">
        <x:v>Simultaneous EEG hyperscanning with trial timing</x:v>
      </x:c>
      <x:c r="R11" s="28" t="str">
        <x:v>Strong</x:v>
      </x:c>
      <x:c r="S11" s="28" t="str">
        <x:v>No peripheral physiology/eye/audio/video, confidence, or hidden-role deception</x:v>
      </x:c>
      <x:c r="T11" s="28" t="str">
        <x:v>https://doi.org/10.1016/j.neuroimage.2026.121865</x:v>
      </x:c>
      <x:c r="U11" s="28" t="str"/>
      <x:c r="V11" s="28" t="str">
        <x:v>New comparator</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58" hidden="0" customWidth="1"/>
    <x:col min="2" max="2" width="22" hidden="0" customWidth="1"/>
    <x:col min="3" max="3" width="24" hidden="0" customWidth="1"/>
    <x:col min="4" max="4" width="95" hidden="0" customWidth="1"/>
  </x:cols>
  <x:sheetData>
    <x:row r="1">
      <x:c r="A1" s="45" t="str">
        <x:v>Candidate Gap</x:v>
      </x:c>
      <x:c r="B1" s="45" t="str">
        <x:v>Challenge Result</x:v>
      </x:c>
      <x:c r="C1" s="45" t="str">
        <x:v>Current Evidence Strength</x:v>
      </x:c>
      <x:c r="D1" s="45" t="str">
        <x:v>Interpretation</x:v>
      </x:c>
    </x:row>
    <x:row r="2">
      <x:c r="A2" s="16" t="str">
        <x:v>Group ≥3 + synchronized physiology + decision-making</x:v>
      </x:c>
      <x:c r="B2" s="16" t="str">
        <x:v>CHALLENGED</x:v>
      </x:c>
      <x:c r="C2" s="16" t="str">
        <x:v>Weak as novelty claim</x:v>
      </x:c>
      <x:c r="D2" s="16" t="str">
        <x:v>Burns/Gordon dataset already has 3-person group decision-making with simultaneous ECG, EDA, respiration and synchronized video.</x:v>
      </x:c>
    </x:row>
    <x:row r="3">
      <x:c r="A3" s="16" t="str">
        <x:v>Group ≥3 + EEG hyperscanning</x:v>
      </x:c>
      <x:c r="B3" s="16" t="str">
        <x:v>CHALLENGED</x:v>
      </x:c>
      <x:c r="C3" s="16" t="str">
        <x:v>Not novel</x:v>
      </x:c>
      <x:c r="D3" s="16" t="str">
        <x:v>Multiple triadic EEG hyperscanning studies now exist, including public/contemporary datasets.</x:v>
      </x:c>
    </x:row>
    <x:row r="4">
      <x:c r="A4" s="16" t="str">
        <x:v>Group ≥3 + repeated cooperative rounds + hidden adversary/deception</x:v>
      </x:c>
      <x:c r="B4" s="16" t="str">
        <x:v>CHALLENGED</x:v>
      </x:c>
      <x:c r="C4" s="16" t="str">
        <x:v>Not novel by itself</x:v>
      </x:c>
      <x:c r="D4" s="16" t="str">
        <x:v>Kennedy et al. (2026) includes triadic repeated cooperative rounds and a secretly instructed adversary.</x:v>
      </x:c>
    </x:row>
    <x:row r="5">
      <x:c r="A5" s="16" t="str">
        <x:v>Group ≥3 + EEG + repeated rounds + adversary + LSL</x:v>
      </x:c>
      <x:c r="B5" s="16" t="str">
        <x:v>CHALLENGED</x:v>
      </x:c>
      <x:c r="C5" s="16" t="str">
        <x:v>Very important comparator</x:v>
      </x:c>
      <x:c r="D5" s="16" t="str">
        <x:v>Kennedy et al. uses EEG, video, keyboard event markers and LSL synchronization in a triadic adversarial cooperative game.</x:v>
      </x:c>
    </x:row>
    <x:row r="6">
      <x:c r="A6" s="16" t="str">
        <x:v>Group size 5 + physiology + strategic persuasion + consensus</x:v>
      </x:c>
      <x:c r="B6" s="16" t="str">
        <x:v>CHALLENGED</x:v>
      </x:c>
      <x:c r="C6" s="16" t="str">
        <x:v>Not novel by itself</x:v>
      </x:c>
      <x:c r="D6" s="16" t="str">
        <x:v>Thorson et al. uses five-person groups, continuous cardiac physiology and covertly assigned advocates during consensus decision-making.</x:v>
      </x:c>
    </x:row>
    <x:row r="7">
      <x:c r="A7" s="16" t="str">
        <x:v>Group ≥3 + eye tracking + decision-making</x:v>
      </x:c>
      <x:c r="B7" s="16" t="str">
        <x:v>CHALLENGED</x:v>
      </x:c>
      <x:c r="C7" s="16" t="str">
        <x:v>Not novel by itself</x:v>
      </x:c>
      <x:c r="D7" s="16" t="str">
        <x:v>A 2025 EyeLogic study uses 24 three-person groups in individual/group decision phases with synchronized gaze.</x:v>
      </x:c>
    </x:row>
    <x:row r="8">
      <x:c r="A8" s="16" t="str">
        <x:v>Group ≥3 + explicit confidence</x:v>
      </x:c>
      <x:c r="B8" s="16" t="str">
        <x:v>CHALLENGED</x:v>
      </x:c>
      <x:c r="C8" s="16" t="str">
        <x:v>Not novel by itself</x:v>
      </x:c>
      <x:c r="D8" s="16" t="str">
        <x:v>Collective-decision studies include groups up to four with explicit confidence sharing.</x:v>
      </x:c>
    </x:row>
    <x:row r="9">
      <x:c r="A9" s="16" t="str">
        <x:v>Deception + multimodal physiology + audio/video</x:v>
      </x:c>
      <x:c r="B9" s="16" t="str">
        <x:v>CHALLENGED</x:v>
      </x:c>
      <x:c r="C9" s="16" t="str">
        <x:v>Not novel by itself</x:v>
      </x:c>
      <x:c r="D9" s="16" t="str">
        <x:v>MuDD and CogniModal-D demonstrate rich multimodal deception sensing, but in individual rather than group interaction.</x:v>
      </x:c>
    </x:row>
    <x:row r="10">
      <x:c r="A10" s="16" t="str">
        <x:v>Broad neural + peripheral physiology + eye + audio/video in one study</x:v>
      </x:c>
      <x:c r="B10" s="16" t="str">
        <x:v>PARTIALLY CHALLENGED</x:v>
      </x:c>
      <x:c r="C10" s="16" t="str">
        <x:v>Moderate gap</x:v>
      </x:c>
      <x:c r="D10" s="16" t="str">
        <x:v>CogniModal-D is already very close on sensing breadth, but lacks multi-person group interaction and ARL-style repeated social decisions.</x:v>
      </x:c>
    </x:row>
    <x:row r="11">
      <x:c r="A11" s="16" t="str">
        <x:v>Full intersection: group ≥3 + EEG + peripheral physiology + eye + audio/video + repeated decisions + confidence + deception + event-level synchronization</x:v>
      </x:c>
      <x:c r="B11" s="16" t="str">
        <x:v>NOT FOUND</x:v>
      </x:c>
      <x:c r="C11" s="16" t="str">
        <x:v>Strongest surviving gap</x:v>
      </x:c>
      <x:c r="D11" s="16" t="str">
        <x:v>No targeted search result found the complete intersection. The closest challenger (Kennedy et al.) has triadic EEG + repeated adversarial rounds + video + LSL, but lacks peripheral physiology, eye tracking, audio and confidence.</x:v>
      </x:c>
    </x:row>
  </x:sheetData>
  <x:pageMargins left="0.7" right="0.7" top="0.75" bottom="0.75" header="0.3" footer="0.3"/>
</x:worksheet>
</file>