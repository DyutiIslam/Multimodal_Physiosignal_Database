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f33507e73a41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9c2f7dfe6204131"/>
    <x:sheet xmlns:r="http://schemas.openxmlformats.org/officeDocument/2006/relationships" name="Master_50" sheetId="2" r:id="R5c2b96508fbd4f6d"/>
    <x:sheet xmlns:r="http://schemas.openxmlformats.org/officeDocument/2006/relationships" name="Tier1_MustRead" sheetId="3" r:id="R43adbf7464f345ff"/>
    <x:sheet xmlns:r="http://schemas.openxmlformats.org/officeDocument/2006/relationships" name="Core_Datasets" sheetId="4" r:id="Rf323f758ce0a450f"/>
    <x:sheet xmlns:r="http://schemas.openxmlformats.org/officeDocument/2006/relationships" name="Social_Group" sheetId="5" r:id="R9d7f10557e714f11"/>
    <x:sheet xmlns:r="http://schemas.openxmlformats.org/officeDocument/2006/relationships" name="Decision_Deception" sheetId="6" r:id="Rcf50cb5a2827499e"/>
    <x:sheet xmlns:r="http://schemas.openxmlformats.org/officeDocument/2006/relationships" name="Eye_EEG" sheetId="7" r:id="Rff965c830adc466f"/>
    <x:sheet xmlns:r="http://schemas.openxmlformats.org/officeDocument/2006/relationships" name="Sync_Platforms" sheetId="8" r:id="R796472d29f3c4993"/>
    <x:sheet xmlns:r="http://schemas.openxmlformats.org/officeDocument/2006/relationships" name="Dashboard" sheetId="9" r:id="Re210bdf85f524fed"/>
    <x:sheet xmlns:r="http://schemas.openxmlformats.org/officeDocument/2006/relationships" name="ARL_Gap_Analysis" sheetId="10" r:id="R9b15cafa149c4e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0F2FE"/>
      </x:patternFill>
    </x:fill>
    <x:fill>
      <x:patternFill patternType="solid">
        <x:fgColor rgb="FF1F4E78"/>
      </x:patternFill>
    </x:fill>
    <x:fill>
      <x:patternFill patternType="solid">
        <x:fgColor rgb="FF111827"/>
      </x:patternFill>
    </x:fill>
    <x:fill>
      <x:patternFill patternType="solid">
        <x:fgColor rgb="FF7C2D12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21">
    <x:dxf>
      <x:fill>
        <x:patternFill patternType="solid">
          <x:bgColor rgb="FFFDE68A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FECACA"/>
        </x:patternFill>
      </x:fill>
    </x:dxf>
    <x:dxf>
      <x:fill>
        <x:patternFill patternType="solid">
          <x:bgColor rgb="FFFDE68A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FECACA"/>
        </x:patternFill>
      </x:fill>
    </x:dxf>
    <x:dxf>
      <x:fill>
        <x:patternFill patternType="solid">
          <x:bgColor rgb="FFFDE68A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FECACA"/>
        </x:patternFill>
      </x:fill>
    </x:dxf>
    <x:dxf>
      <x:fill>
        <x:patternFill patternType="solid">
          <x:bgColor rgb="FFFDE68A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FECACA"/>
        </x:patternFill>
      </x:fill>
    </x:dxf>
    <x:dxf>
      <x:fill>
        <x:patternFill patternType="solid">
          <x:bgColor rgb="FFFDE68A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FECACA"/>
        </x:patternFill>
      </x:fill>
    </x:dxf>
    <x:dxf>
      <x:fill>
        <x:patternFill patternType="solid">
          <x:bgColor rgb="FFFDE68A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FECACA"/>
        </x:patternFill>
      </x:fill>
    </x:dxf>
    <x:dxf>
      <x:fill>
        <x:patternFill patternType="solid">
          <x:bgColor rgb="FFFDE68A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aa6fb5b61b4ec6" /><Relationship Type="http://schemas.openxmlformats.org/officeDocument/2006/relationships/theme" Target="/xl/theme/theme1.xml" Id="R8708356d62654db2" /><Relationship Type="http://schemas.openxmlformats.org/officeDocument/2006/relationships/sharedStrings" Target="/xl/sharedStrings.xml" Id="Rbe974843f9bc4e1a" /><Relationship Type="http://schemas.openxmlformats.org/officeDocument/2006/relationships/worksheet" Target="/xl/worksheets/sheet1.xml" Id="Rc9c2f7dfe6204131" /><Relationship Type="http://schemas.openxmlformats.org/officeDocument/2006/relationships/worksheet" Target="/xl/worksheets/sheet2.xml" Id="R5c2b96508fbd4f6d" /><Relationship Type="http://schemas.openxmlformats.org/officeDocument/2006/relationships/worksheet" Target="/xl/worksheets/sheet3.xml" Id="R43adbf7464f345ff" /><Relationship Type="http://schemas.openxmlformats.org/officeDocument/2006/relationships/worksheet" Target="/xl/worksheets/sheet4.xml" Id="Rf323f758ce0a450f" /><Relationship Type="http://schemas.openxmlformats.org/officeDocument/2006/relationships/worksheet" Target="/xl/worksheets/sheet5.xml" Id="R9d7f10557e714f11" /><Relationship Type="http://schemas.openxmlformats.org/officeDocument/2006/relationships/worksheet" Target="/xl/worksheets/sheet6.xml" Id="Rcf50cb5a2827499e" /><Relationship Type="http://schemas.openxmlformats.org/officeDocument/2006/relationships/worksheet" Target="/xl/worksheets/sheet7.xml" Id="Rff965c830adc466f" /><Relationship Type="http://schemas.openxmlformats.org/officeDocument/2006/relationships/worksheet" Target="/xl/worksheets/sheet8.xml" Id="R796472d29f3c4993" /><Relationship Type="http://schemas.openxmlformats.org/officeDocument/2006/relationships/worksheet" Target="/xl/worksheets/sheet9.xml" Id="Re210bdf85f524fed" /><Relationship Type="http://schemas.openxmlformats.org/officeDocument/2006/relationships/worksheet" Target="/xl/worksheets/sheet10.xml" Id="R9b15cafa149c4e43" /></Relationships>
</file>

<file path=xl/tables/table1.xml><?xml version="1.0" encoding="utf-8"?>
<x:table xmlns:x="http://schemas.openxmlformats.org/spreadsheetml/2006/main" id="1" name="Master_50Tbl" displayName="Master_50Tbl" ref="A1:R51" headerRowCount="1">
  <x:tableColumns count="18">
    <x:tableColumn id="1" name="ID"/>
    <x:tableColumn id="2" name="Tier"/>
    <x:tableColumn id="3" name="Category"/>
    <x:tableColumn id="4" name="Type"/>
    <x:tableColumn id="5" name="Title / Dataset"/>
    <x:tableColumn id="6" name="Year"/>
    <x:tableColumn id="7" name="Primary Authors / Source"/>
    <x:tableColumn id="8" name="Modalities / Signals"/>
    <x:tableColumn id="9" name="Group Setting"/>
    <x:tableColumn id="10" name="Task / Paradigm"/>
    <x:tableColumn id="11" name="Access Status"/>
    <x:tableColumn id="12" name="Dataset / Access URL"/>
    <x:tableColumn id="13" name="Paper / Reference URL"/>
    <x:tableColumn id="14" name="Why Relevant to ARL"/>
    <x:tableColumn id="15" name="ARL Gap / Difference"/>
    <x:tableColumn id="16" name="Priority"/>
    <x:tableColumn id="17" name="Status"/>
    <x:tableColumn id="1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ier1_MustReadTbl" displayName="Tier1_MustReadTbl" ref="A1:R11" headerRowCount="1">
  <x:tableColumns count="18">
    <x:tableColumn id="1" name="ID"/>
    <x:tableColumn id="2" name="Tier"/>
    <x:tableColumn id="3" name="Category"/>
    <x:tableColumn id="4" name="Type"/>
    <x:tableColumn id="5" name="Title / Dataset"/>
    <x:tableColumn id="6" name="Year"/>
    <x:tableColumn id="7" name="Primary Authors / Source"/>
    <x:tableColumn id="8" name="Modalities / Signals"/>
    <x:tableColumn id="9" name="Group Setting"/>
    <x:tableColumn id="10" name="Task / Paradigm"/>
    <x:tableColumn id="11" name="Access Status"/>
    <x:tableColumn id="12" name="Dataset / Access URL"/>
    <x:tableColumn id="13" name="Paper / Reference URL"/>
    <x:tableColumn id="14" name="Why Relevant to ARL"/>
    <x:tableColumn id="15" name="ARL Gap / Difference"/>
    <x:tableColumn id="16" name="Priority"/>
    <x:tableColumn id="17" name="Status"/>
    <x:tableColumn id="1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Core_DatasetsTbl" displayName="Core_DatasetsTbl" ref="A1:R24" headerRowCount="1">
  <x:tableColumns count="18">
    <x:tableColumn id="1" name="ID"/>
    <x:tableColumn id="2" name="Tier"/>
    <x:tableColumn id="3" name="Category"/>
    <x:tableColumn id="4" name="Type"/>
    <x:tableColumn id="5" name="Title / Dataset"/>
    <x:tableColumn id="6" name="Year"/>
    <x:tableColumn id="7" name="Primary Authors / Source"/>
    <x:tableColumn id="8" name="Modalities / Signals"/>
    <x:tableColumn id="9" name="Group Setting"/>
    <x:tableColumn id="10" name="Task / Paradigm"/>
    <x:tableColumn id="11" name="Access Status"/>
    <x:tableColumn id="12" name="Dataset / Access URL"/>
    <x:tableColumn id="13" name="Paper / Reference URL"/>
    <x:tableColumn id="14" name="Why Relevant to ARL"/>
    <x:tableColumn id="15" name="ARL Gap / Difference"/>
    <x:tableColumn id="16" name="Priority"/>
    <x:tableColumn id="17" name="Status"/>
    <x:tableColumn id="18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Social_GroupTbl" displayName="Social_GroupTbl" ref="A1:R31" headerRowCount="1">
  <x:tableColumns count="18">
    <x:tableColumn id="1" name="ID"/>
    <x:tableColumn id="2" name="Tier"/>
    <x:tableColumn id="3" name="Category"/>
    <x:tableColumn id="4" name="Type"/>
    <x:tableColumn id="5" name="Title / Dataset"/>
    <x:tableColumn id="6" name="Year"/>
    <x:tableColumn id="7" name="Primary Authors / Source"/>
    <x:tableColumn id="8" name="Modalities / Signals"/>
    <x:tableColumn id="9" name="Group Setting"/>
    <x:tableColumn id="10" name="Task / Paradigm"/>
    <x:tableColumn id="11" name="Access Status"/>
    <x:tableColumn id="12" name="Dataset / Access URL"/>
    <x:tableColumn id="13" name="Paper / Reference URL"/>
    <x:tableColumn id="14" name="Why Relevant to ARL"/>
    <x:tableColumn id="15" name="ARL Gap / Difference"/>
    <x:tableColumn id="16" name="Priority"/>
    <x:tableColumn id="17" name="Status"/>
    <x:tableColumn id="18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Decision_DeceptionTbl" displayName="Decision_DeceptionTbl" ref="A1:R19" headerRowCount="1">
  <x:tableColumns count="18">
    <x:tableColumn id="1" name="ID"/>
    <x:tableColumn id="2" name="Tier"/>
    <x:tableColumn id="3" name="Category"/>
    <x:tableColumn id="4" name="Type"/>
    <x:tableColumn id="5" name="Title / Dataset"/>
    <x:tableColumn id="6" name="Year"/>
    <x:tableColumn id="7" name="Primary Authors / Source"/>
    <x:tableColumn id="8" name="Modalities / Signals"/>
    <x:tableColumn id="9" name="Group Setting"/>
    <x:tableColumn id="10" name="Task / Paradigm"/>
    <x:tableColumn id="11" name="Access Status"/>
    <x:tableColumn id="12" name="Dataset / Access URL"/>
    <x:tableColumn id="13" name="Paper / Reference URL"/>
    <x:tableColumn id="14" name="Why Relevant to ARL"/>
    <x:tableColumn id="15" name="ARL Gap / Difference"/>
    <x:tableColumn id="16" name="Priority"/>
    <x:tableColumn id="17" name="Status"/>
    <x:tableColumn id="18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Eye_EEGTbl" displayName="Eye_EEGTbl" ref="A1:R8" headerRowCount="1">
  <x:tableColumns count="18">
    <x:tableColumn id="1" name="ID"/>
    <x:tableColumn id="2" name="Tier"/>
    <x:tableColumn id="3" name="Category"/>
    <x:tableColumn id="4" name="Type"/>
    <x:tableColumn id="5" name="Title / Dataset"/>
    <x:tableColumn id="6" name="Year"/>
    <x:tableColumn id="7" name="Primary Authors / Source"/>
    <x:tableColumn id="8" name="Modalities / Signals"/>
    <x:tableColumn id="9" name="Group Setting"/>
    <x:tableColumn id="10" name="Task / Paradigm"/>
    <x:tableColumn id="11" name="Access Status"/>
    <x:tableColumn id="12" name="Dataset / Access URL"/>
    <x:tableColumn id="13" name="Paper / Reference URL"/>
    <x:tableColumn id="14" name="Why Relevant to ARL"/>
    <x:tableColumn id="15" name="ARL Gap / Difference"/>
    <x:tableColumn id="16" name="Priority"/>
    <x:tableColumn id="17" name="Status"/>
    <x:tableColumn id="18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Sync_PlatformsTbl" displayName="Sync_PlatformsTbl" ref="A1:R4" headerRowCount="1">
  <x:tableColumns count="18">
    <x:tableColumn id="1" name="ID"/>
    <x:tableColumn id="2" name="Tier"/>
    <x:tableColumn id="3" name="Category"/>
    <x:tableColumn id="4" name="Type"/>
    <x:tableColumn id="5" name="Title / Dataset"/>
    <x:tableColumn id="6" name="Year"/>
    <x:tableColumn id="7" name="Primary Authors / Source"/>
    <x:tableColumn id="8" name="Modalities / Signals"/>
    <x:tableColumn id="9" name="Group Setting"/>
    <x:tableColumn id="10" name="Task / Paradigm"/>
    <x:tableColumn id="11" name="Access Status"/>
    <x:tableColumn id="12" name="Dataset / Access URL"/>
    <x:tableColumn id="13" name="Paper / Reference URL"/>
    <x:tableColumn id="14" name="Why Relevant to ARL"/>
    <x:tableColumn id="15" name="ARL Gap / Difference"/>
    <x:tableColumn id="16" name="Priority"/>
    <x:tableColumn id="17" name="Status"/>
    <x:tableColumn id="1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6e9f7cc20344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3417e3ecb242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b40f611a0d44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9ea43ba86949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032a270262a41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d2e19be025642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bfacd8023a46a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 ht="30" customHeight="1">
      <x:c r="A1" s="4" t="str">
        <x:v>ARL Research Repository v1.0 — First 50 Papers &amp; Datasets</x:v>
      </x:c>
    </x:row>
    <x:row r="3">
      <x:c r="A3" s="12" t="str">
        <x:v>Purpose</x:v>
      </x:c>
      <x:c r="B3" s="13" t="str">
        <x:v>Curated starting set of 50 papers/datasets for positioning the ARL Spy Game multimodal group decision dataset.</x:v>
      </x:c>
    </x:row>
    <x:row r="4">
      <x:c r="A4" s="12" t="str">
        <x:v>How to use</x:v>
      </x:c>
      <x:c r="B4" s="13" t="str">
        <x:v>Start with Master_50. Filter by Tier, Category, Priority, Access Status, and Status.</x:v>
      </x:c>
    </x:row>
    <x:row r="5">
      <x:c r="A5" s="12" t="str">
        <x:v>Priority meaning</x:v>
      </x:c>
      <x:c r="B5" s="13" t="str">
        <x:v>Must read = directly shapes ARL paper. High = strong citation. Medium = useful context. Low = optional/background.</x:v>
      </x:c>
    </x:row>
    <x:row r="6">
      <x:c r="A6" s="12" t="str">
        <x:v>Status workflow</x:v>
      </x:c>
      <x:c r="B6" s="13" t="str">
        <x:v>To review → Reviewed / Downloaded / Requested access / Not relevant. Use Notes for local file names and observations.</x:v>
      </x:c>
    </x:row>
    <x:row r="7">
      <x:c r="A7" s="12" t="str">
        <x:v>Next expansion</x:v>
      </x:c>
      <x:c r="B7" s="13" t="str">
        <x:v>Add DOI, BibTeX key, exact participant counts, sample rates, file formats, license terms, and a PDF filename column.</x:v>
      </x:c>
    </x:row>
    <x:row r="8">
      <x:c r="A8" s="12" t="str">
        <x:v>Current limitation</x:v>
      </x:c>
      <x:c r="B8" s="13" t="str">
        <x:v>Some entries are marked To verify because access/modality details should be checked before final citation.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22" hidden="0" customWidth="1"/>
    <x:col min="4" max="4" width="18" hidden="0" customWidth="1"/>
    <x:col min="5" max="5" width="42" hidden="0" customWidth="1"/>
    <x:col min="6" max="6" width="8" hidden="0" customWidth="1"/>
    <x:col min="7" max="7" width="28" hidden="0" customWidth="1"/>
    <x:col min="8" max="8" width="34" hidden="0" customWidth="1"/>
    <x:col min="9" max="9" width="18" hidden="0" customWidth="1"/>
    <x:col min="10" max="10" width="28" hidden="0" customWidth="1"/>
    <x:col min="11" max="11" width="18" hidden="0" customWidth="1"/>
    <x:col min="12" max="12" width="38" hidden="0" customWidth="1"/>
    <x:col min="13" max="13" width="38" hidden="0" customWidth="1"/>
    <x:col min="14" max="14" width="42" hidden="0" customWidth="1"/>
    <x:col min="15" max="15" width="36" hidden="0" customWidth="1"/>
    <x:col min="16" max="16" width="12" hidden="0" customWidth="1"/>
    <x:col min="17" max="17" width="14" hidden="0" customWidth="1"/>
    <x:col min="18" max="18" width="28" hidden="0" customWidth="1"/>
  </x:cols>
  <x:sheetData>
    <x:row r="1" ht="36" customHeight="1">
      <x:c r="A1" s="20" t="str">
        <x:v>ID</x:v>
      </x:c>
      <x:c r="B1" s="20" t="str">
        <x:v>Tier</x:v>
      </x:c>
      <x:c r="C1" s="20" t="str">
        <x:v>Category</x:v>
      </x:c>
      <x:c r="D1" s="20" t="str">
        <x:v>Type</x:v>
      </x:c>
      <x:c r="E1" s="20" t="str">
        <x:v>Title / Dataset</x:v>
      </x:c>
      <x:c r="F1" s="20" t="str">
        <x:v>Year</x:v>
      </x:c>
      <x:c r="G1" s="20" t="str">
        <x:v>Primary Authors / Source</x:v>
      </x:c>
      <x:c r="H1" s="20" t="str">
        <x:v>Modalities / Signals</x:v>
      </x:c>
      <x:c r="I1" s="20" t="str">
        <x:v>Group Setting</x:v>
      </x:c>
      <x:c r="J1" s="20" t="str">
        <x:v>Task / Paradigm</x:v>
      </x:c>
      <x:c r="K1" s="20" t="str">
        <x:v>Access Status</x:v>
      </x:c>
      <x:c r="L1" s="20" t="str">
        <x:v>Dataset / Access URL</x:v>
      </x:c>
      <x:c r="M1" s="20" t="str">
        <x:v>Paper / Reference URL</x:v>
      </x:c>
      <x:c r="N1" s="20" t="str">
        <x:v>Why Relevant to ARL</x:v>
      </x:c>
      <x:c r="O1" s="20" t="str">
        <x:v>ARL Gap / Difference</x:v>
      </x:c>
      <x:c r="P1" s="20" t="str">
        <x:v>Priority</x:v>
      </x:c>
      <x:c r="Q1" s="20" t="str">
        <x:v>Status</x:v>
      </x:c>
      <x:c r="R1" s="20" t="str">
        <x:v>Notes</x:v>
      </x:c>
    </x:row>
    <x:row r="2">
      <x:c r="A2" s="26" t="n">
        <x:v>1</x:v>
      </x:c>
      <x:c r="B2" s="26" t="str">
        <x:v>Tier 1</x:v>
      </x:c>
      <x:c r="C2" s="26" t="str">
        <x:v>Core multimodal datasets</x:v>
      </x:c>
      <x:c r="D2" s="26" t="str">
        <x:v>Dataset paper</x:v>
      </x:c>
      <x:c r="E2" s="26" t="str">
        <x:v>AMIGOS: A Dataset for Affect, Personality and Mood Research on Individuals and Groups</x:v>
      </x:c>
      <x:c r="F2" s="26" t="n">
        <x:v>2017</x:v>
      </x:c>
      <x:c r="G2" s="26" t="str">
        <x:v>Miranda-Correa et al.</x:v>
      </x:c>
      <x:c r="H2" s="26" t="str">
        <x:v>EEG; ECG; GSR; frontal HD video; RGB/depth video</x:v>
      </x:c>
      <x:c r="I2" s="26" t="str">
        <x:v>Individual + groups</x:v>
      </x:c>
      <x:c r="J2" s="26" t="str">
        <x:v>Affective video viewing</x:v>
      </x:c>
      <x:c r="K2" s="26" t="str">
        <x:v>Registration/public academic</x:v>
      </x:c>
      <x:c r="L2" s="26" t="str">
        <x:v>http://www.eecs.qmul.ac.uk/mmv/datasets/amigos/download.html</x:v>
      </x:c>
      <x:c r="M2" s="26" t="str">
        <x:v>https://arxiv.org/abs/1702.02510</x:v>
      </x:c>
      <x:c r="N2" s="26" t="str">
        <x:v>Closest prior dataset combining wearable physiology with group context.</x:v>
      </x:c>
      <x:c r="O2" s="26" t="str">
        <x:v>No eye tracking, EMG, individual microphones, social deduction, voting, confidence, or reasoning rounds.</x:v>
      </x:c>
      <x:c r="P2" s="26" t="str">
        <x:v>Must read</x:v>
      </x:c>
      <x:c r="Q2" s="26" t="str">
        <x:v>To review</x:v>
      </x:c>
      <x:c r="R2" s="26" t="str">
        <x:v>Download/request access</x:v>
      </x:c>
    </x:row>
    <x:row r="3">
      <x:c r="A3" s="26" t="n">
        <x:v>2</x:v>
      </x:c>
      <x:c r="B3" s="26" t="str">
        <x:v>Tier 1</x:v>
      </x:c>
      <x:c r="C3" s="26" t="str">
        <x:v>Core multimodal datasets</x:v>
      </x:c>
      <x:c r="D3" s="26" t="str">
        <x:v>Dataset paper</x:v>
      </x:c>
      <x:c r="E3" s="26" t="str">
        <x:v>MAHNOB-HCI: A Multimodal Database for Affect Recognition and Implicit Tagging</x:v>
      </x:c>
      <x:c r="F3" s="26" t="n">
        <x:v>2011</x:v>
      </x:c>
      <x:c r="G3" s="26" t="str">
        <x:v>Soleymani et al.</x:v>
      </x:c>
      <x:c r="H3" s="26" t="str">
        <x:v>EEG; ECG; GSR; eye gaze; audio; video</x:v>
      </x:c>
      <x:c r="I3" s="26" t="str">
        <x:v>Individual</x:v>
      </x:c>
      <x:c r="J3" s="26" t="str">
        <x:v>Affective stimuli / implicit tagging</x:v>
      </x:c>
      <x:c r="K3" s="26" t="str">
        <x:v>Registration</x:v>
      </x:c>
      <x:c r="L3" s="26" t="str">
        <x:v>https://mahnob-db.eu/hci-tagging/</x:v>
      </x:c>
      <x:c r="M3" s="26" t="str">
        <x:v>https://ieeexplore.ieee.org/document/5975141/</x:v>
      </x:c>
      <x:c r="N3" s="26" t="str">
        <x:v>Classic multimodal physiology + audiovisual benchmark.</x:v>
      </x:c>
      <x:c r="O3" s="26" t="str">
        <x:v>Single participant; no group interaction or decision-making.</x:v>
      </x:c>
      <x:c r="P3" s="26" t="str">
        <x:v>Must read</x:v>
      </x:c>
      <x:c r="Q3" s="26" t="str">
        <x:v>To review</x:v>
      </x:c>
      <x:c r="R3" s="26" t="str">
        <x:v>Use for acquisition and metadata comparison</x:v>
      </x:c>
    </x:row>
    <x:row r="4">
      <x:c r="A4" s="26" t="n">
        <x:v>3</x:v>
      </x:c>
      <x:c r="B4" s="26" t="str">
        <x:v>Tier 1</x:v>
      </x:c>
      <x:c r="C4" s="26" t="str">
        <x:v>Core multimodal datasets</x:v>
      </x:c>
      <x:c r="D4" s="26" t="str">
        <x:v>Dataset paper</x:v>
      </x:c>
      <x:c r="E4" s="26" t="str">
        <x:v>K-EmoCon: A Multimodal Sensor Dataset for Continuous Emotion Recognition in Naturalistic Conversations</x:v>
      </x:c>
      <x:c r="F4" s="26" t="n">
        <x:v>2020</x:v>
      </x:c>
      <x:c r="G4" s="26" t="str">
        <x:v>Park et al.</x:v>
      </x:c>
      <x:c r="H4" s="26" t="str">
        <x:v>EEG; PPG; EDA/GSR; HR; audio; video; annotations</x:v>
      </x:c>
      <x:c r="I4" s="26" t="str">
        <x:v>Dyads</x:v>
      </x:c>
      <x:c r="J4" s="26" t="str">
        <x:v>Paired debate / natural conversation</x:v>
      </x:c>
      <x:c r="K4" s="26" t="str">
        <x:v>Public</x:v>
      </x:c>
      <x:c r="L4" s="26" t="str">
        <x:v>https://zenodo.org/records/3762962</x:v>
      </x:c>
      <x:c r="M4" s="26" t="str">
        <x:v>https://www.nature.com/articles/s41597-020-00630-y</x:v>
      </x:c>
      <x:c r="N4" s="26" t="str">
        <x:v>Naturalistic interaction with EEG and peripheral physiology.</x:v>
      </x:c>
      <x:c r="O4" s="26" t="str">
        <x:v>Only dyads; emotion focus; no deception/game structure or voting.</x:v>
      </x:c>
      <x:c r="P4" s="26" t="str">
        <x:v>Must read</x:v>
      </x:c>
      <x:c r="Q4" s="26" t="str">
        <x:v>To review</x:v>
      </x:c>
      <x:c r="R4" s="26" t="str">
        <x:v>Very useful for annotation design</x:v>
      </x:c>
    </x:row>
    <x:row r="5">
      <x:c r="A5" s="26" t="n">
        <x:v>4</x:v>
      </x:c>
      <x:c r="B5" s="26" t="str">
        <x:v>Tier 1</x:v>
      </x:c>
      <x:c r="C5" s="26" t="str">
        <x:v>Core multimodal datasets</x:v>
      </x:c>
      <x:c r="D5" s="26" t="str">
        <x:v>Dataset paper</x:v>
      </x:c>
      <x:c r="E5" s="26" t="str">
        <x:v>DEAP: A Database for Emotion Analysis using Physiological Signals</x:v>
      </x:c>
      <x:c r="F5" s="26" t="n">
        <x:v>2012</x:v>
      </x:c>
      <x:c r="G5" s="26" t="str">
        <x:v>Koelstra et al.</x:v>
      </x:c>
      <x:c r="H5" s="26" t="str">
        <x:v>EEG; EMG; EOG; GSR; respiration; skin temperature; face video</x:v>
      </x:c>
      <x:c r="I5" s="26" t="str">
        <x:v>Individual</x:v>
      </x:c>
      <x:c r="J5" s="26" t="str">
        <x:v>Music video emotion elicitation</x:v>
      </x:c>
      <x:c r="K5" s="26" t="str">
        <x:v>Registration</x:v>
      </x:c>
      <x:c r="L5" s="26" t="str">
        <x:v>https://www.eecs.qmul.ac.uk/mmv/datasets/deap/download.html</x:v>
      </x:c>
      <x:c r="M5" s="26" t="str">
        <x:v>https://research.utwente.nl/en/publications/deap-a-database-for-emotion-analysis-using-physiological-signals/</x:v>
      </x:c>
      <x:c r="N5" s="26" t="str">
        <x:v>Canonical multimodal physiological benchmark.</x:v>
      </x:c>
      <x:c r="O5" s="26" t="str">
        <x:v>Individual passive viewing; no social interaction or real-time group task.</x:v>
      </x:c>
      <x:c r="P5" s="26" t="str">
        <x:v>Must read</x:v>
      </x:c>
      <x:c r="Q5" s="26" t="str">
        <x:v>To review</x:v>
      </x:c>
      <x:c r="R5" s="26" t="str">
        <x:v>Expected citation in affective computing</x:v>
      </x:c>
    </x:row>
    <x:row r="6">
      <x:c r="A6" s="26" t="n">
        <x:v>5</x:v>
      </x:c>
      <x:c r="B6" s="26" t="str">
        <x:v>Tier 1</x:v>
      </x:c>
      <x:c r="C6" s="26" t="str">
        <x:v>Core multimodal datasets</x:v>
      </x:c>
      <x:c r="D6" s="26" t="str">
        <x:v>Dataset paper</x:v>
      </x:c>
      <x:c r="E6" s="26" t="str">
        <x:v>GroupAffect-4: A Multimodal Dataset of Four-Person Collaborative Interaction</x:v>
      </x:c>
      <x:c r="F6" s="26" t="n">
        <x:v>2026</x:v>
      </x:c>
      <x:c r="G6" s="26" t="str">
        <x:v>Jamshidi Seikavandi et al.</x:v>
      </x:c>
      <x:c r="H6" s="26" t="str">
        <x:v>Wrist physiology; eye-tracking glasses; close-talk microphones; self-report; task outcomes</x:v>
      </x:c>
      <x:c r="I6" s="26" t="str">
        <x:v>Four-person groups</x:v>
      </x:c>
      <x:c r="J6" s="26" t="str">
        <x:v>Hidden-profile decision; negotiation; idea generation; public-goods game</x:v>
      </x:c>
      <x:c r="K6" s="26" t="str">
        <x:v>Public</x:v>
      </x:c>
      <x:c r="L6" s="26" t="str">
        <x:v>https://zenodo.org/records/20037847</x:v>
      </x:c>
      <x:c r="M6" s="26" t="str">
        <x:v>https://arxiv.org/abs/2605.19765</x:v>
      </x:c>
      <x:c r="N6" s="26" t="str">
        <x:v>Closest modern comparison for ARL group interaction and LSL-style synchronized multimodal collection.</x:v>
      </x:c>
      <x:c r="O6" s="26" t="str">
        <x:v>No EEG/EMG; not social deduction; four-person not five-person.</x:v>
      </x:c>
      <x:c r="P6" s="26" t="str">
        <x:v>Must read</x:v>
      </x:c>
      <x:c r="Q6" s="26" t="str">
        <x:v>To review</x:v>
      </x:c>
      <x:c r="R6" s="26" t="str">
        <x:v>Highest priority after ARL protocol</x:v>
      </x:c>
    </x:row>
    <x:row r="7">
      <x:c r="A7" s="26" t="n">
        <x:v>6</x:v>
      </x:c>
      <x:c r="B7" s="26" t="str">
        <x:v>Tier 1</x:v>
      </x:c>
      <x:c r="C7" s="26" t="str">
        <x:v>Social affect / dyadic datasets</x:v>
      </x:c>
      <x:c r="D7" s="26" t="str">
        <x:v>Dataset paper</x:v>
      </x:c>
      <x:c r="E7" s="26" t="str">
        <x:v>RECOLA: Remote Collaborative and Affective Interactions</x:v>
      </x:c>
      <x:c r="F7" s="26" t="n">
        <x:v>2013</x:v>
      </x:c>
      <x:c r="G7" s="26" t="str">
        <x:v>Ringeval et al.</x:v>
      </x:c>
      <x:c r="H7" s="26" t="str">
        <x:v>Audio; video; ECG; EDA</x:v>
      </x:c>
      <x:c r="I7" s="26" t="str">
        <x:v>Dyads</x:v>
      </x:c>
      <x:c r="J7" s="26" t="str">
        <x:v>Remote collaborative task</x:v>
      </x:c>
      <x:c r="K7" s="26" t="str">
        <x:v>Academic access</x:v>
      </x:c>
      <x:c r="L7" s="26" t="str">
        <x:v>https://recola.human-ist.ch/</x:v>
      </x:c>
      <x:c r="M7" s="26" t="str">
        <x:v>https://recola.human-ist.ch/data/emoSPACE13_RECOLA_Database.pdf</x:v>
      </x:c>
      <x:c r="N7" s="26" t="str">
        <x:v>Strong example of synchronized affective dyadic interaction.</x:v>
      </x:c>
      <x:c r="O7" s="26" t="str">
        <x:v>No EEG/eye tracking/EMG; dyadic remote collaboration.</x:v>
      </x:c>
      <x:c r="P7" s="26" t="str">
        <x:v>High</x:v>
      </x:c>
      <x:c r="Q7" s="26" t="str">
        <x:v>To review</x:v>
      </x:c>
      <x:c r="R7" s="26" t="str">
        <x:v>Useful for continuous annotation and sync</x:v>
      </x:c>
    </x:row>
    <x:row r="8">
      <x:c r="A8" s="26" t="n">
        <x:v>7</x:v>
      </x:c>
      <x:c r="B8" s="26" t="str">
        <x:v>Tier 1</x:v>
      </x:c>
      <x:c r="C8" s="26" t="str">
        <x:v>Social interaction datasets</x:v>
      </x:c>
      <x:c r="D8" s="26" t="str">
        <x:v>Dataset paper</x:v>
      </x:c>
      <x:c r="E8" s="26" t="str">
        <x:v>SEWA DB: Audio-Visual Emotion and Sentiment Research in the Wild</x:v>
      </x:c>
      <x:c r="F8" s="26" t="n">
        <x:v>2021</x:v>
      </x:c>
      <x:c r="G8" s="26" t="str">
        <x:v>Kossaifi et al.</x:v>
      </x:c>
      <x:c r="H8" s="26" t="str">
        <x:v>Audio; video; facial landmarks; action units; vocal cues</x:v>
      </x:c>
      <x:c r="I8" s="26" t="str">
        <x:v>Dyads</x:v>
      </x:c>
      <x:c r="J8" s="26" t="str">
        <x:v>Natural web-based conversations</x:v>
      </x:c>
      <x:c r="K8" s="26" t="str">
        <x:v>Research access</x:v>
      </x:c>
      <x:c r="L8" s="26" t="str">
        <x:v>http://db.sewaproject.eu/</x:v>
      </x:c>
      <x:c r="M8" s="26" t="str">
        <x:v>https://pubmed.ncbi.nlm.nih.gov/31581074/</x:v>
      </x:c>
      <x:c r="N8" s="26" t="str">
        <x:v>Useful for in-the-wild audiovisual affect and dyadic interaction.</x:v>
      </x:c>
      <x:c r="O8" s="26" t="str">
        <x:v>No physiology; not group decision making.</x:v>
      </x:c>
      <x:c r="P8" s="26" t="str">
        <x:v>High</x:v>
      </x:c>
      <x:c r="Q8" s="26" t="str">
        <x:v>To review</x:v>
      </x:c>
      <x:c r="R8" s="26" t="str">
        <x:v>Relevant to audio/video annotation</x:v>
      </x:c>
    </x:row>
    <x:row r="9">
      <x:c r="A9" s="26" t="n">
        <x:v>8</x:v>
      </x:c>
      <x:c r="B9" s="26" t="str">
        <x:v>Tier 1</x:v>
      </x:c>
      <x:c r="C9" s="26" t="str">
        <x:v>Meeting / group interaction</x:v>
      </x:c>
      <x:c r="D9" s="26" t="str">
        <x:v>Dataset paper</x:v>
      </x:c>
      <x:c r="E9" s="26" t="str">
        <x:v>AMI Meeting Corpus</x:v>
      </x:c>
      <x:c r="F9" s="26" t="n">
        <x:v>2005</x:v>
      </x:c>
      <x:c r="G9" s="26" t="str">
        <x:v>Carletta et al.</x:v>
      </x:c>
      <x:c r="H9" s="26" t="str">
        <x:v>Individual and room microphones; video; projector; whiteboard; transcripts</x:v>
      </x:c>
      <x:c r="I9" s="26" t="str">
        <x:v>Groups</x:v>
      </x:c>
      <x:c r="J9" s="26" t="str">
        <x:v>Scenario-driven and natural meetings</x:v>
      </x:c>
      <x:c r="K9" s="26" t="str">
        <x:v>Public/research</x:v>
      </x:c>
      <x:c r="L9" s="26" t="str">
        <x:v>https://groups.inf.ed.ac.uk/ami/corpus/</x:v>
      </x:c>
      <x:c r="M9" s="26" t="str">
        <x:v>https://link.springer.com/chapter/10.1007/11677482_3</x:v>
      </x:c>
      <x:c r="N9" s="26" t="str">
        <x:v>Foundational multimodal group interaction dataset.</x:v>
      </x:c>
      <x:c r="O9" s="26" t="str">
        <x:v>No physiology; meeting task not deception or uncertainty voting.</x:v>
      </x:c>
      <x:c r="P9" s="26" t="str">
        <x:v>High</x:v>
      </x:c>
      <x:c r="Q9" s="26" t="str">
        <x:v>To review</x:v>
      </x:c>
      <x:c r="R9" s="26" t="str">
        <x:v>Useful for mic/camera setup comparison</x:v>
      </x:c>
    </x:row>
    <x:row r="10">
      <x:c r="A10" s="26" t="n">
        <x:v>9</x:v>
      </x:c>
      <x:c r="B10" s="26" t="str">
        <x:v>Tier 1</x:v>
      </x:c>
      <x:c r="C10" s="26" t="str">
        <x:v>Eye tracking + EEG</x:v>
      </x:c>
      <x:c r="D10" s="26" t="str">
        <x:v>Dataset paper</x:v>
      </x:c>
      <x:c r="E10" s="26" t="str">
        <x:v>EEGEyeNet: Simultaneous EEG and Eye-tracking Dataset and Benchmark</x:v>
      </x:c>
      <x:c r="F10" s="26" t="n">
        <x:v>2021</x:v>
      </x:c>
      <x:c r="G10" s="26" t="str">
        <x:v>Kastrati et al.</x:v>
      </x:c>
      <x:c r="H10" s="26" t="str">
        <x:v>EEG; eye tracking</x:v>
      </x:c>
      <x:c r="I10" s="26" t="str">
        <x:v>Individual</x:v>
      </x:c>
      <x:c r="J10" s="26" t="str">
        <x:v>Eye movement prediction paradigms</x:v>
      </x:c>
      <x:c r="K10" s="26" t="str">
        <x:v>Public</x:v>
      </x:c>
      <x:c r="L10" s="26" t="str">
        <x:v>https://github.com/ardkastrati/EEGEyeNet</x:v>
      </x:c>
      <x:c r="M10" s="26" t="str">
        <x:v>https://arxiv.org/abs/2111.05100</x:v>
      </x:c>
      <x:c r="N10" s="26" t="str">
        <x:v>Important EEG-eye tracking synchronization and benchmark reference.</x:v>
      </x:c>
      <x:c r="O10" s="26" t="str">
        <x:v>No physiology beyond EEG; no interaction or decisions.</x:v>
      </x:c>
      <x:c r="P10" s="26" t="str">
        <x:v>High</x:v>
      </x:c>
      <x:c r="Q10" s="26" t="str">
        <x:v>To review</x:v>
      </x:c>
      <x:c r="R10" s="26" t="str">
        <x:v>Useful for EyeLogic + EEG preprocessing</x:v>
      </x:c>
    </x:row>
    <x:row r="11">
      <x:c r="A11" s="26" t="n">
        <x:v>10</x:v>
      </x:c>
      <x:c r="B11" s="26" t="str">
        <x:v>Tier 1</x:v>
      </x:c>
      <x:c r="C11" s="26" t="str">
        <x:v>Synchronization platform</x:v>
      </x:c>
      <x:c r="D11" s="26" t="str">
        <x:v>Platform paper</x:v>
      </x:c>
      <x:c r="E11" s="26" t="str">
        <x:v>The Lab Streaming Layer for Synchronized Multimodal Recording</x:v>
      </x:c>
      <x:c r="F11" s="26" t="n">
        <x:v>2025</x:v>
      </x:c>
      <x:c r="G11" s="26" t="str">
        <x:v>Kothe et al.</x:v>
      </x:c>
      <x:c r="H11" s="26" t="str">
        <x:v>Software framework for multimodal time synchronization</x:v>
      </x:c>
      <x:c r="I11" s="26" t="str">
        <x:v>Any</x:v>
      </x:c>
      <x:c r="J11" s="26" t="str">
        <x:v>Synchronized recording framework</x:v>
      </x:c>
      <x:c r="K11" s="26" t="str">
        <x:v>Open source</x:v>
      </x:c>
      <x:c r="L11" s="26" t="str">
        <x:v>https://labstreaminglayer.org/</x:v>
      </x:c>
      <x:c r="M11" s="26" t="str">
        <x:v>https://direct.mit.edu/imag/article/doi/10.1162/IMAG.a.136/132678/The-lab-streaming-layer-for-synchronized</x:v>
      </x:c>
      <x:c r="N11" s="26" t="str">
        <x:v>Core technical citation for ARL acquisition architecture.</x:v>
      </x:c>
      <x:c r="O11" s="26" t="str">
        <x:v>Not a dataset; supports infrastructure rather than task design.</x:v>
      </x:c>
      <x:c r="P11" s="26" t="str">
        <x:v>Must read</x:v>
      </x:c>
      <x:c r="Q11" s="26" t="str">
        <x:v>To review</x:v>
      </x:c>
      <x:c r="R11" s="26" t="str">
        <x:v>Must cite in ARL platform section</x:v>
      </x:c>
    </x:row>
    <x:row r="12">
      <x:c r="A12" s="26" t="n">
        <x:v>11</x:v>
      </x:c>
      <x:c r="B12" s="26" t="str">
        <x:v>Tier 2</x:v>
      </x:c>
      <x:c r="C12" s="26" t="str">
        <x:v>Physiological affect datasets</x:v>
      </x:c>
      <x:c r="D12" s="26" t="str">
        <x:v>Dataset paper</x:v>
      </x:c>
      <x:c r="E12" s="26" t="str">
        <x:v>ASCERTAIN: A Database for Implicit Personality and Affect Recognition</x:v>
      </x:c>
      <x:c r="F12" s="26" t="n">
        <x:v>2016</x:v>
      </x:c>
      <x:c r="G12" s="26" t="str">
        <x:v>Subramanian et al.</x:v>
      </x:c>
      <x:c r="H12" s="26" t="str">
        <x:v>EEG; ECG; GSR; facial video; personality/self-report</x:v>
      </x:c>
      <x:c r="I12" s="26" t="str">
        <x:v>Individual</x:v>
      </x:c>
      <x:c r="J12" s="26" t="str">
        <x:v>Affective video viewing</x:v>
      </x:c>
      <x:c r="K12" s="26" t="str">
        <x:v>Research access</x:v>
      </x:c>
      <x:c r="L12" s="26" t="str">
        <x:v>http://ascertain-dataset.github.io/</x:v>
      </x:c>
      <x:c r="M12" s="26" t="str">
        <x:v>https://ieeexplore.ieee.org/document/7740927/</x:v>
      </x:c>
      <x:c r="N12" s="26" t="str">
        <x:v>Adds personality and affect to multimodal physiology.</x:v>
      </x:c>
      <x:c r="O12" s="26" t="str">
        <x:v>No group interaction; no decision-making task.</x:v>
      </x:c>
      <x:c r="P12" s="26" t="str">
        <x:v>Medium</x:v>
      </x:c>
      <x:c r="Q12" s="26" t="str">
        <x:v>To review</x:v>
      </x:c>
      <x:c r="R12" s="26" t="str">
        <x:v>May need access link verification</x:v>
      </x:c>
    </x:row>
    <x:row r="13">
      <x:c r="A13" s="26" t="n">
        <x:v>12</x:v>
      </x:c>
      <x:c r="B13" s="26" t="str">
        <x:v>Tier 2</x:v>
      </x:c>
      <x:c r="C13" s="26" t="str">
        <x:v>Physiological affect datasets</x:v>
      </x:c>
      <x:c r="D13" s="26" t="str">
        <x:v>Dataset paper</x:v>
      </x:c>
      <x:c r="E13" s="26" t="str">
        <x:v>DREAMER: A Database for Emotion Recognition Through EEG and ECG Signals</x:v>
      </x:c>
      <x:c r="F13" s="26" t="n">
        <x:v>2018</x:v>
      </x:c>
      <x:c r="G13" s="26" t="str">
        <x:v>Katsigiannis &amp; Ramzan</x:v>
      </x:c>
      <x:c r="H13" s="26" t="str">
        <x:v>EEG; ECG</x:v>
      </x:c>
      <x:c r="I13" s="26" t="str">
        <x:v>Individual</x:v>
      </x:c>
      <x:c r="J13" s="26" t="str">
        <x:v>Affective audio-visual stimuli</x:v>
      </x:c>
      <x:c r="K13" s="26" t="str">
        <x:v>Public/research</x:v>
      </x:c>
      <x:c r="L13" s="26" t="str">
        <x:v>https://zenodo.org/record/546113</x:v>
      </x:c>
      <x:c r="M13" s="26" t="str">
        <x:v>https://ieeexplore.ieee.org/document/7880584/</x:v>
      </x:c>
      <x:c r="N13" s="26" t="str">
        <x:v>Useful compact EEG+ECG benchmark.</x:v>
      </x:c>
      <x:c r="O13" s="26" t="str">
        <x:v>No GSR/EMG/eye/audio interaction.</x:v>
      </x:c>
      <x:c r="P13" s="26" t="str">
        <x:v>Medium</x:v>
      </x:c>
      <x:c r="Q13" s="26" t="str">
        <x:v>To review</x:v>
      </x:c>
      <x:c r="R13" s="26" t="str">
        <x:v>Good baseline physiology dataset</x:v>
      </x:c>
    </x:row>
    <x:row r="14">
      <x:c r="A14" s="26" t="n">
        <x:v>13</x:v>
      </x:c>
      <x:c r="B14" s="26" t="str">
        <x:v>Tier 2</x:v>
      </x:c>
      <x:c r="C14" s="26" t="str">
        <x:v>Physiological affect datasets</x:v>
      </x:c>
      <x:c r="D14" s="26" t="str">
        <x:v>Dataset paper</x:v>
      </x:c>
      <x:c r="E14" s="26" t="str">
        <x:v>CASE: Continuously Annotated Signals of Emotion Dataset</x:v>
      </x:c>
      <x:c r="F14" s="26" t="n">
        <x:v>2019</x:v>
      </x:c>
      <x:c r="G14" s="26" t="str">
        <x:v>Sharma et al.</x:v>
      </x:c>
      <x:c r="H14" s="26" t="str">
        <x:v>ECG; BVP; EMG; GSR/EDA; respiration; skin temperature</x:v>
      </x:c>
      <x:c r="I14" s="26" t="str">
        <x:v>Individual</x:v>
      </x:c>
      <x:c r="J14" s="26" t="str">
        <x:v>Video emotion elicitation</x:v>
      </x:c>
      <x:c r="K14" s="26" t="str">
        <x:v>Public</x:v>
      </x:c>
      <x:c r="L14" s="26" t="str">
        <x:v>https://springernature.figshare.com/collections/CASE_Dataset/4260668</x:v>
      </x:c>
      <x:c r="M14" s="26" t="str">
        <x:v>https://www.nature.com/articles/s41597-019-0209-0</x:v>
      </x:c>
      <x:c r="N14" s="26" t="str">
        <x:v>High-quality synchronized physiological recordings with continuous annotations.</x:v>
      </x:c>
      <x:c r="O14" s="26" t="str">
        <x:v>No EEG/eye tracking/group interaction.</x:v>
      </x:c>
      <x:c r="P14" s="26" t="str">
        <x:v>Medium</x:v>
      </x:c>
      <x:c r="Q14" s="26" t="str">
        <x:v>To review</x:v>
      </x:c>
      <x:c r="R14" s="26" t="str">
        <x:v>Use for annotation and physiology QC</x:v>
      </x:c>
    </x:row>
    <x:row r="15">
      <x:c r="A15" s="26" t="n">
        <x:v>14</x:v>
      </x:c>
      <x:c r="B15" s="26" t="str">
        <x:v>Tier 2</x:v>
      </x:c>
      <x:c r="C15" s="26" t="str">
        <x:v>Physiological affect datasets</x:v>
      </x:c>
      <x:c r="D15" s="26" t="str">
        <x:v>Dataset paper</x:v>
      </x:c>
      <x:c r="E15" s="26" t="str">
        <x:v>WESAD: Wearable Stress and Affect Detection</x:v>
      </x:c>
      <x:c r="F15" s="26" t="n">
        <x:v>2018</x:v>
      </x:c>
      <x:c r="G15" s="26" t="str">
        <x:v>Schmidt et al.</x:v>
      </x:c>
      <x:c r="H15" s="26" t="str">
        <x:v>ECG; EDA; EMG; respiration; temperature; acceleration</x:v>
      </x:c>
      <x:c r="I15" s="26" t="str">
        <x:v>Individual</x:v>
      </x:c>
      <x:c r="J15" s="26" t="str">
        <x:v>Stress/affect protocol</x:v>
      </x:c>
      <x:c r="K15" s="26" t="str">
        <x:v>Public/research</x:v>
      </x:c>
      <x:c r="L15" s="26" t="str">
        <x:v>https://archive.ics.uci.edu/dataset/465/wesad+wearable+stress+and+affect+detection</x:v>
      </x:c>
      <x:c r="M15" s="26" t="str">
        <x:v>https://dl.acm.org/doi/10.1145/3242969.3242985</x:v>
      </x:c>
      <x:c r="N15" s="26" t="str">
        <x:v>Important wearable physiological dataset and benchmark.</x:v>
      </x:c>
      <x:c r="O15" s="26" t="str">
        <x:v>No EEG/eye/audio/video; no social interaction.</x:v>
      </x:c>
      <x:c r="P15" s="26" t="str">
        <x:v>Medium</x:v>
      </x:c>
      <x:c r="Q15" s="26" t="str">
        <x:v>To review</x:v>
      </x:c>
      <x:c r="R15" s="26" t="str">
        <x:v>Useful for Shimmer-style feature extraction</x:v>
      </x:c>
    </x:row>
    <x:row r="16">
      <x:c r="A16" s="26" t="n">
        <x:v>15</x:v>
      </x:c>
      <x:c r="B16" s="26" t="str">
        <x:v>Tier 2</x:v>
      </x:c>
      <x:c r="C16" s="26" t="str">
        <x:v>Physiological affect datasets</x:v>
      </x:c>
      <x:c r="D16" s="26" t="str">
        <x:v>Dataset paper</x:v>
      </x:c>
      <x:c r="E16" s="26" t="str">
        <x:v>MAUS: A Multimodal Affective User State Dataset</x:v>
      </x:c>
      <x:c r="F16" s="26" t="n">
        <x:v>2019</x:v>
      </x:c>
      <x:c r="G16" s="26" t="str">
        <x:v>Kächele et al.</x:v>
      </x:c>
      <x:c r="H16" s="26" t="str">
        <x:v>Physiology; facial behavior; annotations</x:v>
      </x:c>
      <x:c r="I16" s="26" t="str">
        <x:v>Individual</x:v>
      </x:c>
      <x:c r="J16" s="26" t="str">
        <x:v>Affective user state tasks</x:v>
      </x:c>
      <x:c r="K16" s="26" t="str">
        <x:v>Research access</x:v>
      </x:c>
      <x:c r="L16" s="26" t="str"/>
      <x:c r="M16" s="26" t="str">
        <x:v>https://dl.acm.org/doi/10.1145/3340555.3353746</x:v>
      </x:c>
      <x:c r="N16" s="26" t="str">
        <x:v>Relevant for multimodal user state inference.</x:v>
      </x:c>
      <x:c r="O16" s="26" t="str">
        <x:v>Less direct to group decision; access/details need review.</x:v>
      </x:c>
      <x:c r="P16" s="26" t="str">
        <x:v>Medium</x:v>
      </x:c>
      <x:c r="Q16" s="26" t="str">
        <x:v>To verify</x:v>
      </x:c>
      <x:c r="R16" s="26" t="str">
        <x:v>Potential related work</x:v>
      </x:c>
    </x:row>
    <x:row r="17">
      <x:c r="A17" s="26" t="n">
        <x:v>16</x:v>
      </x:c>
      <x:c r="B17" s="26" t="str">
        <x:v>Tier 2</x:v>
      </x:c>
      <x:c r="C17" s="26" t="str">
        <x:v>Physiological affect datasets</x:v>
      </x:c>
      <x:c r="D17" s="26" t="str">
        <x:v>Dataset paper</x:v>
      </x:c>
      <x:c r="E17" s="26" t="str">
        <x:v>Affectiva-MIT Facial Expression / emotion datasets</x:v>
      </x:c>
      <x:c r="F17" s="26" t="n">
        <x:v>2010</x:v>
      </x:c>
      <x:c r="G17" s="26" t="str">
        <x:v>McDuff et al.</x:v>
      </x:c>
      <x:c r="H17" s="26" t="str">
        <x:v>Video/facial expression; sometimes physiology in related work</x:v>
      </x:c>
      <x:c r="I17" s="26" t="str">
        <x:v>Individual</x:v>
      </x:c>
      <x:c r="J17" s="26" t="str">
        <x:v>Emotion elicitation</x:v>
      </x:c>
      <x:c r="K17" s="26" t="str">
        <x:v>Restricted/commercial/research</x:v>
      </x:c>
      <x:c r="L17" s="26" t="str"/>
      <x:c r="M17" s="26" t="str">
        <x:v>https://ieeexplore.ieee.org/document/7744024/</x:v>
      </x:c>
      <x:c r="N17" s="26" t="str">
        <x:v>Useful for affect and facial-video benchmark context.</x:v>
      </x:c>
      <x:c r="O17" s="26" t="str">
        <x:v>Not physiological group decision data.</x:v>
      </x:c>
      <x:c r="P17" s="26" t="str">
        <x:v>Low</x:v>
      </x:c>
      <x:c r="Q17" s="26" t="str">
        <x:v>To verify</x:v>
      </x:c>
      <x:c r="R17" s="26" t="str">
        <x:v>Optional citation only</x:v>
      </x:c>
    </x:row>
    <x:row r="18">
      <x:c r="A18" s="26" t="n">
        <x:v>17</x:v>
      </x:c>
      <x:c r="B18" s="26" t="str">
        <x:v>Tier 2</x:v>
      </x:c>
      <x:c r="C18" s="26" t="str">
        <x:v>EEG emotion datasets</x:v>
      </x:c>
      <x:c r="D18" s="26" t="str">
        <x:v>Dataset paper</x:v>
      </x:c>
      <x:c r="E18" s="26" t="str">
        <x:v>SEED: A Dataset for Emotion Recognition using EEG</x:v>
      </x:c>
      <x:c r="F18" s="26" t="n">
        <x:v>2015</x:v>
      </x:c>
      <x:c r="G18" s="26" t="str">
        <x:v>Zheng &amp; Lu</x:v>
      </x:c>
      <x:c r="H18" s="26" t="str">
        <x:v>EEG</x:v>
      </x:c>
      <x:c r="I18" s="26" t="str">
        <x:v>Individual</x:v>
      </x:c>
      <x:c r="J18" s="26" t="str">
        <x:v>Emotion film clips</x:v>
      </x:c>
      <x:c r="K18" s="26" t="str">
        <x:v>Research access</x:v>
      </x:c>
      <x:c r="L18" s="26" t="str">
        <x:v>https://bcmi.sjtu.edu.cn/home/seed/</x:v>
      </x:c>
      <x:c r="M18" s="26" t="str">
        <x:v>https://ieeexplore.ieee.org/document/7104132/</x:v>
      </x:c>
      <x:c r="N18" s="26" t="str">
        <x:v>Common EEG emotion benchmark.</x:v>
      </x:c>
      <x:c r="O18" s="26" t="str">
        <x:v>No multimodal group interaction.</x:v>
      </x:c>
      <x:c r="P18" s="26" t="str">
        <x:v>Medium</x:v>
      </x:c>
      <x:c r="Q18" s="26" t="str">
        <x:v>To review</x:v>
      </x:c>
      <x:c r="R18" s="26" t="str">
        <x:v>Useful for EEG feature benchmarks</x:v>
      </x:c>
    </x:row>
    <x:row r="19">
      <x:c r="A19" s="26" t="n">
        <x:v>18</x:v>
      </x:c>
      <x:c r="B19" s="26" t="str">
        <x:v>Tier 2</x:v>
      </x:c>
      <x:c r="C19" s="26" t="str">
        <x:v>EEG emotion datasets</x:v>
      </x:c>
      <x:c r="D19" s="26" t="str">
        <x:v>Dataset paper</x:v>
      </x:c>
      <x:c r="E19" s="26" t="str">
        <x:v>SEED-IV: Multimodal Emotion Dataset with Four Emotion Categories</x:v>
      </x:c>
      <x:c r="F19" s="26" t="n">
        <x:v>2018</x:v>
      </x:c>
      <x:c r="G19" s="26" t="str">
        <x:v>Zheng et al.</x:v>
      </x:c>
      <x:c r="H19" s="26" t="str">
        <x:v>EEG; eye movement</x:v>
      </x:c>
      <x:c r="I19" s="26" t="str">
        <x:v>Individual</x:v>
      </x:c>
      <x:c r="J19" s="26" t="str">
        <x:v>Emotion film clips</x:v>
      </x:c>
      <x:c r="K19" s="26" t="str">
        <x:v>Research access</x:v>
      </x:c>
      <x:c r="L19" s="26" t="str">
        <x:v>https://bcmi.sjtu.edu.cn/home/seed/</x:v>
      </x:c>
      <x:c r="M19" s="26" t="str">
        <x:v>https://ieeexplore.ieee.org/document/8373816/</x:v>
      </x:c>
      <x:c r="N19" s="26" t="str">
        <x:v>EEG + eye movement emotion benchmark.</x:v>
      </x:c>
      <x:c r="O19" s="26" t="str">
        <x:v>No social interaction or peripheral physiology.</x:v>
      </x:c>
      <x:c r="P19" s="26" t="str">
        <x:v>Medium</x:v>
      </x:c>
      <x:c r="Q19" s="26" t="str">
        <x:v>To review</x:v>
      </x:c>
      <x:c r="R19" s="26" t="str">
        <x:v>Useful for EEG-eye comparison</x:v>
      </x:c>
    </x:row>
    <x:row r="20">
      <x:c r="A20" s="26" t="n">
        <x:v>19</x:v>
      </x:c>
      <x:c r="B20" s="26" t="str">
        <x:v>Tier 2</x:v>
      </x:c>
      <x:c r="C20" s="26" t="str">
        <x:v>EEG + eye tracking datasets</x:v>
      </x:c>
      <x:c r="D20" s="26" t="str">
        <x:v>Dataset paper</x:v>
      </x:c>
      <x:c r="E20" s="26" t="str">
        <x:v>Consumer-grade EEG-based Eye Tracking Dataset</x:v>
      </x:c>
      <x:c r="F20" s="26" t="n">
        <x:v>2025</x:v>
      </x:c>
      <x:c r="G20" s="26" t="str">
        <x:v>Authors TBD</x:v>
      </x:c>
      <x:c r="H20" s="26" t="str">
        <x:v>Consumer EEG; webcam eye tracking</x:v>
      </x:c>
      <x:c r="I20" s="26" t="str">
        <x:v>Individual</x:v>
      </x:c>
      <x:c r="J20" s="26" t="str">
        <x:v>Eye movement paradigms</x:v>
      </x:c>
      <x:c r="K20" s="26" t="str">
        <x:v>Likely public</x:v>
      </x:c>
      <x:c r="L20" s="26" t="str">
        <x:v>https://arxiv.org/html/2503.14322v1</x:v>
      </x:c>
      <x:c r="M20" s="26" t="str">
        <x:v>https://arxiv.org/html/2503.14322v1</x:v>
      </x:c>
      <x:c r="N20" s="26" t="str">
        <x:v>Relevant to low-cost EEG + webcam/eye tracking synchronization.</x:v>
      </x:c>
      <x:c r="O20" s="26" t="str">
        <x:v>No physiology/group task; details need verification.</x:v>
      </x:c>
      <x:c r="P20" s="26" t="str">
        <x:v>Medium</x:v>
      </x:c>
      <x:c r="Q20" s="26" t="str">
        <x:v>To verify</x:v>
      </x:c>
      <x:c r="R20" s="26" t="str">
        <x:v>Useful if EyeLogic constraints become important</x:v>
      </x:c>
    </x:row>
    <x:row r="21">
      <x:c r="A21" s="26" t="n">
        <x:v>20</x:v>
      </x:c>
      <x:c r="B21" s="26" t="str">
        <x:v>Tier 2</x:v>
      </x:c>
      <x:c r="C21" s="26" t="str">
        <x:v>EEG + eye tracking datasets</x:v>
      </x:c>
      <x:c r="D21" s="26" t="str">
        <x:v>Dataset paper</x:v>
      </x:c>
      <x:c r="E21" s="26" t="str">
        <x:v>Ocular Activity Dataset: EEG, Eye-tracking, and High-speed Video</x:v>
      </x:c>
      <x:c r="F21" s="26" t="n">
        <x:v>2025</x:v>
      </x:c>
      <x:c r="G21" s="26" t="str">
        <x:v>Guttmann-Flury et al.</x:v>
      </x:c>
      <x:c r="H21" s="26" t="str">
        <x:v>EEG; eye tracking; high-speed video</x:v>
      </x:c>
      <x:c r="I21" s="26" t="str">
        <x:v>Individual</x:v>
      </x:c>
      <x:c r="J21" s="26" t="str">
        <x:v>Ocular behavior / mental states</x:v>
      </x:c>
      <x:c r="K21" s="26" t="str">
        <x:v>Public</x:v>
      </x:c>
      <x:c r="L21" s="26" t="str">
        <x:v>https://pmc.ncbi.nlm.nih.gov/articles/PMC11978869/</x:v>
      </x:c>
      <x:c r="M21" s="26" t="str">
        <x:v>https://pmc.ncbi.nlm.nih.gov/articles/PMC11978869/</x:v>
      </x:c>
      <x:c r="N21" s="26" t="str">
        <x:v>Good multimodal eye/EEG/video reference.</x:v>
      </x:c>
      <x:c r="O21" s="26" t="str">
        <x:v>No group decision or physiology.</x:v>
      </x:c>
      <x:c r="P21" s="26" t="str">
        <x:v>Medium</x:v>
      </x:c>
      <x:c r="Q21" s="26" t="str">
        <x:v>To review</x:v>
      </x:c>
      <x:c r="R21" s="26" t="str">
        <x:v>Useful for ocular artifact handling</x:v>
      </x:c>
    </x:row>
    <x:row r="22">
      <x:c r="A22" s="26" t="n">
        <x:v>21</x:v>
      </x:c>
      <x:c r="B22" s="26" t="str">
        <x:v>Tier 2</x:v>
      </x:c>
      <x:c r="C22" s="26" t="str">
        <x:v>Social interaction datasets</x:v>
      </x:c>
      <x:c r="D22" s="26" t="str">
        <x:v>Dataset paper</x:v>
      </x:c>
      <x:c r="E22" s="26" t="str">
        <x:v>MELD: Multimodal EmotionLines Dataset</x:v>
      </x:c>
      <x:c r="F22" s="26" t="n">
        <x:v>2019</x:v>
      </x:c>
      <x:c r="G22" s="26" t="str">
        <x:v>Poria et al.</x:v>
      </x:c>
      <x:c r="H22" s="26" t="str">
        <x:v>Text; audio; video</x:v>
      </x:c>
      <x:c r="I22" s="26" t="str">
        <x:v>Multi-party</x:v>
      </x:c>
      <x:c r="J22" s="26" t="str">
        <x:v>TV-series multi-party conversations</x:v>
      </x:c>
      <x:c r="K22" s="26" t="str">
        <x:v>Public</x:v>
      </x:c>
      <x:c r="L22" s="26" t="str">
        <x:v>https://affective-meld.github.io/</x:v>
      </x:c>
      <x:c r="M22" s="26" t="str">
        <x:v>https://aclanthology.org/P19-1050/</x:v>
      </x:c>
      <x:c r="N22" s="26" t="str">
        <x:v>Important multi-party conversation benchmark.</x:v>
      </x:c>
      <x:c r="O22" s="26" t="str">
        <x:v>No physiology; acted/scripted media source.</x:v>
      </x:c>
      <x:c r="P22" s="26" t="str">
        <x:v>Medium</x:v>
      </x:c>
      <x:c r="Q22" s="26" t="str">
        <x:v>To review</x:v>
      </x:c>
      <x:c r="R22" s="26" t="str">
        <x:v>Useful for dialogue-level modeling</x:v>
      </x:c>
    </x:row>
    <x:row r="23">
      <x:c r="A23" s="26" t="n">
        <x:v>22</x:v>
      </x:c>
      <x:c r="B23" s="26" t="str">
        <x:v>Tier 2</x:v>
      </x:c>
      <x:c r="C23" s="26" t="str">
        <x:v>Social interaction datasets</x:v>
      </x:c>
      <x:c r="D23" s="26" t="str">
        <x:v>Dataset paper</x:v>
      </x:c>
      <x:c r="E23" s="26" t="str">
        <x:v>IEMOCAP: Interactive Emotional Dyadic Motion Capture Database</x:v>
      </x:c>
      <x:c r="F23" s="26" t="n">
        <x:v>2008</x:v>
      </x:c>
      <x:c r="G23" s="26" t="str">
        <x:v>Busso et al.</x:v>
      </x:c>
      <x:c r="H23" s="26" t="str">
        <x:v>Audio; video; motion capture; text annotations</x:v>
      </x:c>
      <x:c r="I23" s="26" t="str">
        <x:v>Dyads</x:v>
      </x:c>
      <x:c r="J23" s="26" t="str">
        <x:v>Scripted and spontaneous dialogues</x:v>
      </x:c>
      <x:c r="K23" s="26" t="str">
        <x:v>Research access</x:v>
      </x:c>
      <x:c r="L23" s="26" t="str">
        <x:v>https://sail.usc.edu/iemocap/</x:v>
      </x:c>
      <x:c r="M23" s="26" t="str">
        <x:v>https://www.carlosbusso.com/publications/Busso_2008_5.pdf</x:v>
      </x:c>
      <x:c r="N23" s="26" t="str">
        <x:v>Classic interactive dyadic multimodal emotion dataset.</x:v>
      </x:c>
      <x:c r="O23" s="26" t="str">
        <x:v>No physiology; dyadic actors.</x:v>
      </x:c>
      <x:c r="P23" s="26" t="str">
        <x:v>Medium</x:v>
      </x:c>
      <x:c r="Q23" s="26" t="str">
        <x:v>To review</x:v>
      </x:c>
      <x:c r="R23" s="26" t="str">
        <x:v>Useful for audio/video annotation</x:v>
      </x:c>
    </x:row>
    <x:row r="24">
      <x:c r="A24" s="26" t="n">
        <x:v>23</x:v>
      </x:c>
      <x:c r="B24" s="26" t="str">
        <x:v>Tier 2</x:v>
      </x:c>
      <x:c r="C24" s="26" t="str">
        <x:v>Meeting / group interaction</x:v>
      </x:c>
      <x:c r="D24" s="26" t="str">
        <x:v>Dataset paper</x:v>
      </x:c>
      <x:c r="E24" s="26" t="str">
        <x:v>ICSI Meeting Corpus</x:v>
      </x:c>
      <x:c r="F24" s="26" t="n">
        <x:v>2004</x:v>
      </x:c>
      <x:c r="G24" s="26" t="str">
        <x:v>Janin et al.</x:v>
      </x:c>
      <x:c r="H24" s="26" t="str">
        <x:v>Multi-channel audio; transcripts</x:v>
      </x:c>
      <x:c r="I24" s="26" t="str">
        <x:v>Groups</x:v>
      </x:c>
      <x:c r="J24" s="26" t="str">
        <x:v>Meetings</x:v>
      </x:c>
      <x:c r="K24" s="26" t="str">
        <x:v>Public/research</x:v>
      </x:c>
      <x:c r="L24" s="26" t="str">
        <x:v>http://www1.icsi.berkeley.edu/Speech/mr/</x:v>
      </x:c>
      <x:c r="M24" s="26" t="str">
        <x:v>https://www1.icsi.berkeley.edu/Speech/papers/icsi05-meeting-corpus.pdf</x:v>
      </x:c>
      <x:c r="N24" s="26" t="str">
        <x:v>Classic meeting corpus for conversation/speaker interaction.</x:v>
      </x:c>
      <x:c r="O24" s="26" t="str">
        <x:v>No physiology/video in main corpus; not decision physiology.</x:v>
      </x:c>
      <x:c r="P24" s="26" t="str">
        <x:v>Medium</x:v>
      </x:c>
      <x:c r="Q24" s="26" t="str">
        <x:v>To review</x:v>
      </x:c>
      <x:c r="R24" s="26" t="str">
        <x:v>Useful for speech segmentation</x:v>
      </x:c>
    </x:row>
    <x:row r="25">
      <x:c r="A25" s="26" t="n">
        <x:v>24</x:v>
      </x:c>
      <x:c r="B25" s="26" t="str">
        <x:v>Tier 2</x:v>
      </x:c>
      <x:c r="C25" s="26" t="str">
        <x:v>Meeting / group interaction</x:v>
      </x:c>
      <x:c r="D25" s="26" t="str">
        <x:v>Dataset paper</x:v>
      </x:c>
      <x:c r="E25" s="26" t="str">
        <x:v>ELEA Audio-Visual Synchronous Corpus</x:v>
      </x:c>
      <x:c r="F25" s="26" t="n">
        <x:v>2012</x:v>
      </x:c>
      <x:c r="G25" s="26" t="str">
        <x:v>Sanchez-Cortes et al.</x:v>
      </x:c>
      <x:c r="H25" s="26" t="str">
        <x:v>Audio; video; nonverbal behavior annotations</x:v>
      </x:c>
      <x:c r="I25" s="26" t="str">
        <x:v>Small groups</x:v>
      </x:c>
      <x:c r="J25" s="26" t="str">
        <x:v>Leadership emergence / group discussion</x:v>
      </x:c>
      <x:c r="K25" s="26" t="str">
        <x:v>Research access</x:v>
      </x:c>
      <x:c r="L25" s="26" t="str"/>
      <x:c r="M25" s="26" t="str">
        <x:v>https://dl.acm.org/doi/10.1145/2388676.2388680</x:v>
      </x:c>
      <x:c r="N25" s="26" t="str">
        <x:v>Relevant for small-group behavior and leadership/dominance.</x:v>
      </x:c>
      <x:c r="O25" s="26" t="str">
        <x:v>No physiology or deception paradigm.</x:v>
      </x:c>
      <x:c r="P25" s="26" t="str">
        <x:v>Medium</x:v>
      </x:c>
      <x:c r="Q25" s="26" t="str">
        <x:v>To verify</x:v>
      </x:c>
      <x:c r="R25" s="26" t="str">
        <x:v>Useful for social dynamics</x:v>
      </x:c>
    </x:row>
    <x:row r="26">
      <x:c r="A26" s="26" t="n">
        <x:v>25</x:v>
      </x:c>
      <x:c r="B26" s="26" t="str">
        <x:v>Tier 2</x:v>
      </x:c>
      <x:c r="C26" s="26" t="str">
        <x:v>Meeting / group interaction</x:v>
      </x:c>
      <x:c r="D26" s="26" t="str">
        <x:v>Dataset paper</x:v>
      </x:c>
      <x:c r="E26" s="26" t="str">
        <x:v>MPIIGroupInteraction: Multi-person Group Interaction Dataset</x:v>
      </x:c>
      <x:c r="F26" s="26" t="n">
        <x:v>2018</x:v>
      </x:c>
      <x:c r="G26" s="26" t="str">
        <x:v>Müller et al.</x:v>
      </x:c>
      <x:c r="H26" s="26" t="str">
        <x:v>Video; pose/behavior annotations</x:v>
      </x:c>
      <x:c r="I26" s="26" t="str">
        <x:v>Groups</x:v>
      </x:c>
      <x:c r="J26" s="26" t="str">
        <x:v>Natural group conversation</x:v>
      </x:c>
      <x:c r="K26" s="26" t="str">
        <x:v>Research/public</x:v>
      </x:c>
      <x:c r="L26" s="26" t="str">
        <x:v>https://team.inria.fr/robotlearn/the-mpii-group-interaction-dataset/</x:v>
      </x:c>
      <x:c r="M26" s="26" t="str">
        <x:v>https://openaccess.thecvf.com/content_cvpr_2018_workshops/w32/html/Muller_Multi-Person_3D_Pose_CVPR_2018_paper.html</x:v>
      </x:c>
      <x:c r="N26" s="26" t="str">
        <x:v>Relevant for group visual behavior analysis.</x:v>
      </x:c>
      <x:c r="O26" s="26" t="str">
        <x:v>No physiology/audio focus; not task-controlled.</x:v>
      </x:c>
      <x:c r="P26" s="26" t="str">
        <x:v>Medium</x:v>
      </x:c>
      <x:c r="Q26" s="26" t="str">
        <x:v>To verify</x:v>
      </x:c>
      <x:c r="R26" s="26" t="str">
        <x:v>Optional computer-vision angle</x:v>
      </x:c>
    </x:row>
    <x:row r="27">
      <x:c r="A27" s="26" t="n">
        <x:v>26</x:v>
      </x:c>
      <x:c r="B27" s="26" t="str">
        <x:v>Tier 2</x:v>
      </x:c>
      <x:c r="C27" s="26" t="str">
        <x:v>Social interaction datasets</x:v>
      </x:c>
      <x:c r="D27" s="26" t="str">
        <x:v>Dataset paper</x:v>
      </x:c>
      <x:c r="E27" s="26" t="str">
        <x:v>MatchNMingle: Multi-sensor Social Mingling Dataset</x:v>
      </x:c>
      <x:c r="F27" s="26" t="n">
        <x:v>2018</x:v>
      </x:c>
      <x:c r="G27" s="26" t="str">
        <x:v>Cabrera-Quiros et al.</x:v>
      </x:c>
      <x:c r="H27" s="26" t="str">
        <x:v>Wearable acceleration; proximity; audio; video annotations</x:v>
      </x:c>
      <x:c r="I27" s="26" t="str">
        <x:v>Groups/social event</x:v>
      </x:c>
      <x:c r="J27" s="26" t="str">
        <x:v>Free mingling interaction</x:v>
      </x:c>
      <x:c r="K27" s="26" t="str">
        <x:v>Research access</x:v>
      </x:c>
      <x:c r="L27" s="26" t="str"/>
      <x:c r="M27" s="26" t="str">
        <x:v>https://dl.acm.org/doi/10.1145/3267305.3274114</x:v>
      </x:c>
      <x:c r="N27" s="26" t="str">
        <x:v>Useful for group social dynamics and wearable sensing.</x:v>
      </x:c>
      <x:c r="O27" s="26" t="str">
        <x:v>No EEG/ECG/GSR; not decision task.</x:v>
      </x:c>
      <x:c r="P27" s="26" t="str">
        <x:v>Medium</x:v>
      </x:c>
      <x:c r="Q27" s="26" t="str">
        <x:v>To verify</x:v>
      </x:c>
      <x:c r="R27" s="26" t="str">
        <x:v>Good for social network features</x:v>
      </x:c>
    </x:row>
    <x:row r="28">
      <x:c r="A28" s="26" t="n">
        <x:v>27</x:v>
      </x:c>
      <x:c r="B28" s="26" t="str">
        <x:v>Tier 2</x:v>
      </x:c>
      <x:c r="C28" s="26" t="str">
        <x:v>Social interaction datasets</x:v>
      </x:c>
      <x:c r="D28" s="26" t="str">
        <x:v>Dataset paper</x:v>
      </x:c>
      <x:c r="E28" s="26" t="str">
        <x:v>NOXI Database: Multimodal Natural Human-Computer Interaction</x:v>
      </x:c>
      <x:c r="F28" s="26" t="n">
        <x:v>2017</x:v>
      </x:c>
      <x:c r="G28" s="26" t="str">
        <x:v>Cafaro et al.</x:v>
      </x:c>
      <x:c r="H28" s="26" t="str">
        <x:v>Audio; video; motion/behavior</x:v>
      </x:c>
      <x:c r="I28" s="26" t="str">
        <x:v>Dyads/HCI</x:v>
      </x:c>
      <x:c r="J28" s="26" t="str">
        <x:v>Expert-novice interaction</x:v>
      </x:c>
      <x:c r="K28" s="26" t="str">
        <x:v>Research access</x:v>
      </x:c>
      <x:c r="L28" s="26" t="str">
        <x:v>https://noxi.aria-agent.eu/</x:v>
      </x:c>
      <x:c r="M28" s="26" t="str">
        <x:v>https://dl.acm.org/doi/10.1145/3136755.3136759</x:v>
      </x:c>
      <x:c r="N28" s="26" t="str">
        <x:v>Useful for naturalistic interaction and nonverbal cues.</x:v>
      </x:c>
      <x:c r="O28" s="26" t="str">
        <x:v>No physiology; not group decision.</x:v>
      </x:c>
      <x:c r="P28" s="26" t="str">
        <x:v>Low</x:v>
      </x:c>
      <x:c r="Q28" s="26" t="str">
        <x:v>To verify</x:v>
      </x:c>
      <x:c r="R28" s="26" t="str">
        <x:v>Peripheral relevance</x:v>
      </x:c>
    </x:row>
    <x:row r="29">
      <x:c r="A29" s="26" t="n">
        <x:v>28</x:v>
      </x:c>
      <x:c r="B29" s="26" t="str">
        <x:v>Tier 2</x:v>
      </x:c>
      <x:c r="C29" s="26" t="str">
        <x:v>Social interaction datasets</x:v>
      </x:c>
      <x:c r="D29" s="26" t="str">
        <x:v>Dataset paper</x:v>
      </x:c>
      <x:c r="E29" s="26" t="str">
        <x:v>Aff-Wild: In-the-Wild Affect Recognition Database</x:v>
      </x:c>
      <x:c r="F29" s="26" t="n">
        <x:v>2019</x:v>
      </x:c>
      <x:c r="G29" s="26" t="str">
        <x:v>Kollias et al.</x:v>
      </x:c>
      <x:c r="H29" s="26" t="str">
        <x:v>Video; audio in related variants; valence/arousal annotations</x:v>
      </x:c>
      <x:c r="I29" s="26" t="str">
        <x:v>Individual/video subjects</x:v>
      </x:c>
      <x:c r="J29" s="26" t="str">
        <x:v>In-the-wild affect videos</x:v>
      </x:c>
      <x:c r="K29" s="26" t="str">
        <x:v>Research access</x:v>
      </x:c>
      <x:c r="L29" s="26" t="str">
        <x:v>https://ibug.doc.ic.ac.uk/resources/aff-wild2/</x:v>
      </x:c>
      <x:c r="M29" s="26" t="str">
        <x:v>https://link.springer.com/article/10.1007/s11263-019-01158-4</x:v>
      </x:c>
      <x:c r="N29" s="26" t="str">
        <x:v>Useful for video affect benchmark context.</x:v>
      </x:c>
      <x:c r="O29" s="26" t="str">
        <x:v>No physiology/group task.</x:v>
      </x:c>
      <x:c r="P29" s="26" t="str">
        <x:v>Low</x:v>
      </x:c>
      <x:c r="Q29" s="26" t="str">
        <x:v>To review</x:v>
      </x:c>
      <x:c r="R29" s="26" t="str">
        <x:v>Not core but recognizable</x:v>
      </x:c>
    </x:row>
    <x:row r="30">
      <x:c r="A30" s="26" t="n">
        <x:v>29</x:v>
      </x:c>
      <x:c r="B30" s="26" t="str">
        <x:v>Tier 2</x:v>
      </x:c>
      <x:c r="C30" s="26" t="str">
        <x:v>Social interaction datasets</x:v>
      </x:c>
      <x:c r="D30" s="26" t="str">
        <x:v>Dataset paper</x:v>
      </x:c>
      <x:c r="E30" s="26" t="str">
        <x:v>AVEC Challenges / Audio-Visual Emotion Challenge Corpora</x:v>
      </x:c>
      <x:c r="F30" s="26" t="n">
        <x:v>2016</x:v>
      </x:c>
      <x:c r="G30" s="26" t="str">
        <x:v>Valstar/Ringeval et al.</x:v>
      </x:c>
      <x:c r="H30" s="26" t="str">
        <x:v>Audio; video; physiology depending on year</x:v>
      </x:c>
      <x:c r="I30" s="26" t="str">
        <x:v>Dyads/individual</x:v>
      </x:c>
      <x:c r="J30" s="26" t="str">
        <x:v>Affect/depression/emotion challenge tasks</x:v>
      </x:c>
      <x:c r="K30" s="26" t="str">
        <x:v>Research access</x:v>
      </x:c>
      <x:c r="L30" s="26" t="str">
        <x:v>https://avec-challenge.org/</x:v>
      </x:c>
      <x:c r="M30" s="26" t="str">
        <x:v>https://d-nb.info/1248484878/34</x:v>
      </x:c>
      <x:c r="N30" s="26" t="str">
        <x:v>Useful benchmark family for multimodal affect.</x:v>
      </x:c>
      <x:c r="O30" s="26" t="str">
        <x:v>Not tailored to group decision; varies by year.</x:v>
      </x:c>
      <x:c r="P30" s="26" t="str">
        <x:v>Medium</x:v>
      </x:c>
      <x:c r="Q30" s="26" t="str">
        <x:v>To review</x:v>
      </x:c>
      <x:c r="R30" s="26" t="str">
        <x:v>Cite if benchmarking methods</x:v>
      </x:c>
    </x:row>
    <x:row r="31">
      <x:c r="A31" s="26" t="n">
        <x:v>30</x:v>
      </x:c>
      <x:c r="B31" s="26" t="str">
        <x:v>Tier 2</x:v>
      </x:c>
      <x:c r="C31" s="26" t="str">
        <x:v>Affective computing reviews</x:v>
      </x:c>
      <x:c r="D31" s="26" t="str">
        <x:v>Review paper</x:v>
      </x:c>
      <x:c r="E31" s="26" t="str">
        <x:v>A Survey on Databases for Multimodal Emotion Recognition</x:v>
      </x:c>
      <x:c r="F31" s="26" t="n">
        <x:v>2022</x:v>
      </x:c>
      <x:c r="G31" s="26" t="str">
        <x:v>Siddiqui et al.</x:v>
      </x:c>
      <x:c r="H31" s="26" t="str">
        <x:v>Review across audio; video; physiology; text</x:v>
      </x:c>
      <x:c r="I31" s="26" t="str">
        <x:v>Mixed</x:v>
      </x:c>
      <x:c r="J31" s="26" t="str">
        <x:v>Review/taxonomy</x:v>
      </x:c>
      <x:c r="K31" s="26" t="str">
        <x:v>Open</x:v>
      </x:c>
      <x:c r="L31" s="26" t="str">
        <x:v>https://www.mdpi.com/2414-4088/6/6/47</x:v>
      </x:c>
      <x:c r="M31" s="26" t="str">
        <x:v>https://www.mdpi.com/2414-4088/6/6/47</x:v>
      </x:c>
      <x:c r="N31" s="26" t="str">
        <x:v>Good source to map dataset landscape.</x:v>
      </x:c>
      <x:c r="O31" s="26" t="str">
        <x:v>Review only; not specific to decision/social deduction.</x:v>
      </x:c>
      <x:c r="P31" s="26" t="str">
        <x:v>High</x:v>
      </x:c>
      <x:c r="Q31" s="26" t="str">
        <x:v>To review</x:v>
      </x:c>
      <x:c r="R31" s="26" t="str">
        <x:v>Can guide expansion beyond 50</x:v>
      </x:c>
    </x:row>
    <x:row r="32">
      <x:c r="A32" s="26" t="n">
        <x:v>31</x:v>
      </x:c>
      <x:c r="B32" s="26" t="str">
        <x:v>Tier 3</x:v>
      </x:c>
      <x:c r="C32" s="26" t="str">
        <x:v>Decision/social neuroscience</x:v>
      </x:c>
      <x:c r="D32" s="26" t="str">
        <x:v>Review paper</x:v>
      </x:c>
      <x:c r="E32" s="26" t="str">
        <x:v>Hyperscanning: A Valid Method to Study Neural Inter-brain Underpinnings of Social Interaction</x:v>
      </x:c>
      <x:c r="F32" s="26" t="n">
        <x:v>2020</x:v>
      </x:c>
      <x:c r="G32" s="26" t="str">
        <x:v>Czeszumski et al.</x:v>
      </x:c>
      <x:c r="H32" s="26" t="str">
        <x:v>EEG/fNIRS/fMRI hyperscanning methods</x:v>
      </x:c>
      <x:c r="I32" s="26" t="str">
        <x:v>Dyads/groups</x:v>
      </x:c>
      <x:c r="J32" s="26" t="str">
        <x:v>Social interaction review</x:v>
      </x:c>
      <x:c r="K32" s="26" t="str">
        <x:v>Open</x:v>
      </x:c>
      <x:c r="L32" s="26" t="str">
        <x:v>https://www.frontiersin.org/articles/10.3389/fnhum.2020.00039/full</x:v>
      </x:c>
      <x:c r="M32" s="26" t="str">
        <x:v>https://www.frontiersin.org/articles/10.3389/fnhum.2020.00039/full</x:v>
      </x:c>
      <x:c r="N32" s="26" t="str">
        <x:v>Foundational hyperscanning methods and analysis reference.</x:v>
      </x:c>
      <x:c r="O32" s="26" t="str">
        <x:v>Not a dataset; broader than ARL.</x:v>
      </x:c>
      <x:c r="P32" s="26" t="str">
        <x:v>High</x:v>
      </x:c>
      <x:c r="Q32" s="26" t="str">
        <x:v>To review</x:v>
      </x:c>
      <x:c r="R32" s="26" t="str">
        <x:v>Use in theoretical framing</x:v>
      </x:c>
    </x:row>
    <x:row r="33">
      <x:c r="A33" s="26" t="n">
        <x:v>32</x:v>
      </x:c>
      <x:c r="B33" s="26" t="str">
        <x:v>Tier 3</x:v>
      </x:c>
      <x:c r="C33" s="26" t="str">
        <x:v>Decision/social neuroscience</x:v>
      </x:c>
      <x:c r="D33" s="26" t="str">
        <x:v>Review paper</x:v>
      </x:c>
      <x:c r="E33" s="26" t="str">
        <x:v>Review and Progress on EEG-Based Hyperscanning in Social Interactions</x:v>
      </x:c>
      <x:c r="F33" s="26" t="n">
        <x:v>2018</x:v>
      </x:c>
      <x:c r="G33" s="26" t="str">
        <x:v>Liu et al.</x:v>
      </x:c>
      <x:c r="H33" s="26" t="str">
        <x:v>EEG hyperscanning</x:v>
      </x:c>
      <x:c r="I33" s="26" t="str">
        <x:v>Dyads/groups</x:v>
      </x:c>
      <x:c r="J33" s="26" t="str">
        <x:v>Social interaction review</x:v>
      </x:c>
      <x:c r="K33" s="26" t="str">
        <x:v>Open</x:v>
      </x:c>
      <x:c r="L33" s="26" t="str">
        <x:v>https://pmc.ncbi.nlm.nih.gov/articles/PMC6186988/</x:v>
      </x:c>
      <x:c r="M33" s="26" t="str">
        <x:v>https://pmc.ncbi.nlm.nih.gov/articles/PMC6186988/</x:v>
      </x:c>
      <x:c r="N33" s="26" t="str">
        <x:v>Directly supports multi-person EEG framing.</x:v>
      </x:c>
      <x:c r="O33" s="26" t="str">
        <x:v>Not multimodal dataset-specific.</x:v>
      </x:c>
      <x:c r="P33" s="26" t="str">
        <x:v>High</x:v>
      </x:c>
      <x:c r="Q33" s="26" t="str">
        <x:v>To review</x:v>
      </x:c>
      <x:c r="R33" s="26" t="str">
        <x:v>Use for multi-brain rationale</x:v>
      </x:c>
    </x:row>
    <x:row r="34">
      <x:c r="A34" s="26" t="n">
        <x:v>33</x:v>
      </x:c>
      <x:c r="B34" s="26" t="str">
        <x:v>Tier 3</x:v>
      </x:c>
      <x:c r="C34" s="26" t="str">
        <x:v>Decision/social neuroscience</x:v>
      </x:c>
      <x:c r="D34" s="26" t="str">
        <x:v>Review paper</x:v>
      </x:c>
      <x:c r="E34" s="26" t="str">
        <x:v>Cooperation and Competition with Hyperscanning Methods</x:v>
      </x:c>
      <x:c r="F34" s="26" t="n">
        <x:v>2017</x:v>
      </x:c>
      <x:c r="G34" s="26" t="str">
        <x:v>Balconi &amp; Vanutelli</x:v>
      </x:c>
      <x:c r="H34" s="26" t="str">
        <x:v>EEG/fNIRS hyperscanning</x:v>
      </x:c>
      <x:c r="I34" s="26" t="str">
        <x:v>Dyads/groups</x:v>
      </x:c>
      <x:c r="J34" s="26" t="str">
        <x:v>Cooperation/competition review</x:v>
      </x:c>
      <x:c r="K34" s="26" t="str">
        <x:v>Open</x:v>
      </x:c>
      <x:c r="L34" s="26" t="str">
        <x:v>https://www.frontiersin.org/articles/10.3389/fncom.2017.00086/full</x:v>
      </x:c>
      <x:c r="M34" s="26" t="str">
        <x:v>https://www.frontiersin.org/articles/10.3389/fncom.2017.00086/full</x:v>
      </x:c>
      <x:c r="N34" s="26" t="str">
        <x:v>Relevant to cooperation/competition dynamics in spy game.</x:v>
      </x:c>
      <x:c r="O34" s="26" t="str">
        <x:v>Review only; no ARL-like multimodal release.</x:v>
      </x:c>
      <x:c r="P34" s="26" t="str">
        <x:v>Medium</x:v>
      </x:c>
      <x:c r="Q34" s="26" t="str">
        <x:v>To review</x:v>
      </x:c>
      <x:c r="R34" s="26" t="str">
        <x:v>Useful for discussion</x:v>
      </x:c>
    </x:row>
    <x:row r="35">
      <x:c r="A35" s="26" t="n">
        <x:v>34</x:v>
      </x:c>
      <x:c r="B35" s="26" t="str">
        <x:v>Tier 3</x:v>
      </x:c>
      <x:c r="C35" s="26" t="str">
        <x:v>Decision/social neuroscience</x:v>
      </x:c>
      <x:c r="D35" s="26" t="str">
        <x:v>Research paper</x:v>
      </x:c>
      <x:c r="E35" s="26" t="str">
        <x:v>Cortical Activity and Connectivity During Prisoner's Dilemma: An EEG Hyperscanning Study</x:v>
      </x:c>
      <x:c r="F35" s="26" t="n">
        <x:v>2007</x:v>
      </x:c>
      <x:c r="G35" s="26" t="str">
        <x:v>Babiloni et al.</x:v>
      </x:c>
      <x:c r="H35" s="26" t="str">
        <x:v>EEG hyperscanning</x:v>
      </x:c>
      <x:c r="I35" s="26" t="str">
        <x:v>Multiple participants</x:v>
      </x:c>
      <x:c r="J35" s="26" t="str">
        <x:v>Prisoner's dilemma</x:v>
      </x:c>
      <x:c r="K35" s="26" t="str">
        <x:v>Publication only</x:v>
      </x:c>
      <x:c r="L35" s="26" t="str"/>
      <x:c r="M35" s="26" t="str">
        <x:v>https://pubmed.ncbi.nlm.nih.gov/18003118/</x:v>
      </x:c>
      <x:c r="N35" s="26" t="str">
        <x:v>Classic EEG hyperscanning decision-making study.</x:v>
      </x:c>
      <x:c r="O35" s="26" t="str">
        <x:v>Not public multimodal dataset; no multimodal signals.</x:v>
      </x:c>
      <x:c r="P35" s="26" t="str">
        <x:v>High</x:v>
      </x:c>
      <x:c r="Q35" s="26" t="str">
        <x:v>To review</x:v>
      </x:c>
      <x:c r="R35" s="26" t="str">
        <x:v>Conceptually important</x:v>
      </x:c>
    </x:row>
    <x:row r="36">
      <x:c r="A36" s="26" t="n">
        <x:v>35</x:v>
      </x:c>
      <x:c r="B36" s="26" t="str">
        <x:v>Tier 3</x:v>
      </x:c>
      <x:c r="C36" s="26" t="str">
        <x:v>Decision/social neuroscience</x:v>
      </x:c>
      <x:c r="D36" s="26" t="str">
        <x:v>Dataset paper</x:v>
      </x:c>
      <x:c r="E36" s="26" t="str">
        <x:v>EEG-BIDS Three-Person Hyperscanning Prisoner's Dilemma Dataset</x:v>
      </x:c>
      <x:c r="F36" s="26" t="n">
        <x:v>2026</x:v>
      </x:c>
      <x:c r="G36" s="26" t="str">
        <x:v>OpenNeuro ds007822</x:v>
      </x:c>
      <x:c r="H36" s="26" t="str">
        <x:v>EEG; behavioral data</x:v>
      </x:c>
      <x:c r="I36" s="26" t="str">
        <x:v>Three-person groups/triads</x:v>
      </x:c>
      <x:c r="J36" s="26" t="str">
        <x:v>Prisoner's dilemma</x:v>
      </x:c>
      <x:c r="K36" s="26" t="str">
        <x:v>Public</x:v>
      </x:c>
      <x:c r="L36" s="26" t="str">
        <x:v>https://openneuro.org/datasets/ds007822/versions/1.0.0</x:v>
      </x:c>
      <x:c r="M36" s="26" t="str">
        <x:v>https://openneuro.org/datasets/ds007822/versions/1.0.0</x:v>
      </x:c>
      <x:c r="N36" s="26" t="str">
        <x:v>Very close on group decision + EEG hyperscanning.</x:v>
      </x:c>
      <x:c r="O36" s="26" t="str">
        <x:v>No multimodal physiology/audio/video/eye tracking; 3 not 5 people.</x:v>
      </x:c>
      <x:c r="P36" s="26" t="str">
        <x:v>High</x:v>
      </x:c>
      <x:c r="Q36" s="26" t="str">
        <x:v>To review</x:v>
      </x:c>
      <x:c r="R36" s="26" t="str">
        <x:v>Important ARL comparison</x:v>
      </x:c>
    </x:row>
    <x:row r="37">
      <x:c r="A37" s="26" t="n">
        <x:v>36</x:v>
      </x:c>
      <x:c r="B37" s="26" t="str">
        <x:v>Tier 3</x:v>
      </x:c>
      <x:c r="C37" s="26" t="str">
        <x:v>Decision/social neuroscience</x:v>
      </x:c>
      <x:c r="D37" s="26" t="str">
        <x:v>Research paper</x:v>
      </x:c>
      <x:c r="E37" s="26" t="str">
        <x:v>EEG Hyperscanning Reveals Dynamic Interbrain Network Reorganization During Social Decision-Making</x:v>
      </x:c>
      <x:c r="F37" s="26" t="n">
        <x:v>2026</x:v>
      </x:c>
      <x:c r="G37" s="26" t="str">
        <x:v>Li et al.</x:v>
      </x:c>
      <x:c r="H37" s="26" t="str">
        <x:v>EEG hyperscanning</x:v>
      </x:c>
      <x:c r="I37" s="26" t="str">
        <x:v>Dyads/groups depending task</x:v>
      </x:c>
      <x:c r="J37" s="26" t="str">
        <x:v>Social decision-making</x:v>
      </x:c>
      <x:c r="K37" s="26" t="str">
        <x:v>Publication only</x:v>
      </x:c>
      <x:c r="L37" s="26" t="str"/>
      <x:c r="M37" s="26" t="str">
        <x:v>https://www.nature.com/articles/s42003-026-09852-z</x:v>
      </x:c>
      <x:c r="N37" s="26" t="str">
        <x:v>Recent social decision EEG hyperscanning paper.</x:v>
      </x:c>
      <x:c r="O37" s="26" t="str">
        <x:v>Not dataset/platform-focused; exact access to data uncertain.</x:v>
      </x:c>
      <x:c r="P37" s="26" t="str">
        <x:v>Medium</x:v>
      </x:c>
      <x:c r="Q37" s="26" t="str">
        <x:v>To review</x:v>
      </x:c>
      <x:c r="R37" s="26" t="str">
        <x:v>Modern theoretical reference</x:v>
      </x:c>
    </x:row>
    <x:row r="38">
      <x:c r="A38" s="26" t="n">
        <x:v>37</x:v>
      </x:c>
      <x:c r="B38" s="26" t="str">
        <x:v>Tier 3</x:v>
      </x:c>
      <x:c r="C38" s="26" t="str">
        <x:v>Decision/social neuroscience</x:v>
      </x:c>
      <x:c r="D38" s="26" t="str">
        <x:v>Dataset paper</x:v>
      </x:c>
      <x:c r="E38" s="26" t="str">
        <x:v>An EEG Dataset of Neural Signatures in a Competitive Two-Player Card Game</x:v>
      </x:c>
      <x:c r="F38" s="26" t="n">
        <x:v>2024</x:v>
      </x:c>
      <x:c r="G38" s="26" t="str">
        <x:v>Chen et al.</x:v>
      </x:c>
      <x:c r="H38" s="26" t="str">
        <x:v>EEG; behavioral data</x:v>
      </x:c>
      <x:c r="I38" s="26" t="str">
        <x:v>Two-player</x:v>
      </x:c>
      <x:c r="J38" s="26" t="str">
        <x:v>Competitive card game / deception</x:v>
      </x:c>
      <x:c r="K38" s="26" t="str">
        <x:v>Public/Scientific Data</x:v>
      </x:c>
      <x:c r="L38" s="26" t="str">
        <x:v>https://www.nature.com/articles/s41597-024-03234-y</x:v>
      </x:c>
      <x:c r="M38" s="26" t="str">
        <x:v>https://www.nature.com/articles/s41597-024-03234-y</x:v>
      </x:c>
      <x:c r="N38" s="26" t="str">
        <x:v>Highly relevant deception/competition EEG dataset.</x:v>
      </x:c>
      <x:c r="O38" s="26" t="str">
        <x:v>Dyadic; no ECG/GSR/EMG/eye/audio/video group capture.</x:v>
      </x:c>
      <x:c r="P38" s="26" t="str">
        <x:v>High</x:v>
      </x:c>
      <x:c r="Q38" s="26" t="str">
        <x:v>To review</x:v>
      </x:c>
      <x:c r="R38" s="26" t="str">
        <x:v>Strong ARL novelty comparison</x:v>
      </x:c>
    </x:row>
    <x:row r="39">
      <x:c r="A39" s="26" t="n">
        <x:v>38</x:v>
      </x:c>
      <x:c r="B39" s="26" t="str">
        <x:v>Tier 3</x:v>
      </x:c>
      <x:c r="C39" s="26" t="str">
        <x:v>Decision/social neuroscience</x:v>
      </x:c>
      <x:c r="D39" s="26" t="str">
        <x:v>Dataset paper</x:v>
      </x:c>
      <x:c r="E39" s="26" t="str">
        <x:v>IllusionGameEEG Dataset</x:v>
      </x:c>
      <x:c r="F39" s="26" t="n">
        <x:v>2023</x:v>
      </x:c>
      <x:c r="G39" s="26" t="str">
        <x:v>OpenNeuro ds004587</x:v>
      </x:c>
      <x:c r="H39" s="26" t="str">
        <x:v>EEG; physiological; behavioral data</x:v>
      </x:c>
      <x:c r="I39" s="26" t="str">
        <x:v>Individual</x:v>
      </x:c>
      <x:c r="J39" s="26" t="str">
        <x:v>Illusion/game-like cognitive task</x:v>
      </x:c>
      <x:c r="K39" s="26" t="str">
        <x:v>Public</x:v>
      </x:c>
      <x:c r="L39" s="26" t="str">
        <x:v>https://openneuro.org/datasets/ds004587/versions/1.0.0</x:v>
      </x:c>
      <x:c r="M39" s="26" t="str">
        <x:v>https://openneuro.org/datasets/ds004587/versions/1.0.0</x:v>
      </x:c>
      <x:c r="N39" s="26" t="str">
        <x:v>EEG + physiology + behavioral data in game-like task.</x:v>
      </x:c>
      <x:c r="O39" s="26" t="str">
        <x:v>No group interaction/social deduction.</x:v>
      </x:c>
      <x:c r="P39" s="26" t="str">
        <x:v>Medium</x:v>
      </x:c>
      <x:c r="Q39" s="26" t="str">
        <x:v>To verify</x:v>
      </x:c>
      <x:c r="R39" s="26" t="str">
        <x:v>Potential methods comparison</x:v>
      </x:c>
    </x:row>
    <x:row r="40">
      <x:c r="A40" s="26" t="n">
        <x:v>39</x:v>
      </x:c>
      <x:c r="B40" s="26" t="str">
        <x:v>Tier 3</x:v>
      </x:c>
      <x:c r="C40" s="26" t="str">
        <x:v>Decision/social neuroscience</x:v>
      </x:c>
      <x:c r="D40" s="26" t="str">
        <x:v>Research paper</x:v>
      </x:c>
      <x:c r="E40" s="26" t="str">
        <x:v>Neural Decoding of Competitive Decision-Making in Rock–Paper–Scissors</x:v>
      </x:c>
      <x:c r="F40" s="26" t="n">
        <x:v>2025</x:v>
      </x:c>
      <x:c r="G40" s="26" t="str">
        <x:v>Moerel et al.</x:v>
      </x:c>
      <x:c r="H40" s="26" t="str">
        <x:v>EEG hyperscanning</x:v>
      </x:c>
      <x:c r="I40" s="26" t="str">
        <x:v>Dyads</x:v>
      </x:c>
      <x:c r="J40" s="26" t="str">
        <x:v>Competitive Rock-Paper-Scissors</x:v>
      </x:c>
      <x:c r="K40" s="26" t="str">
        <x:v>Publication only</x:v>
      </x:c>
      <x:c r="L40" s="26" t="str"/>
      <x:c r="M40" s="26" t="str">
        <x:v>https://boa.unimib.it/retrieve/77d8308f-f97c-4d5d-ad41-f4b1967f573c/Moerel%20et%20al-2025-Social%20Cognitive%20and%20Affective%20Neuroscience-VoR.pdf</x:v>
      </x:c>
      <x:c r="N40" s="26" t="str">
        <x:v>Recent competitive decision EEG hyperscanning reference.</x:v>
      </x:c>
      <x:c r="O40" s="26" t="str">
        <x:v>No full multimodal dataset; dyads only.</x:v>
      </x:c>
      <x:c r="P40" s="26" t="str">
        <x:v>Medium</x:v>
      </x:c>
      <x:c r="Q40" s="26" t="str">
        <x:v>To review</x:v>
      </x:c>
      <x:c r="R40" s="26" t="str">
        <x:v>Useful for classifier framing</x:v>
      </x:c>
    </x:row>
    <x:row r="41">
      <x:c r="A41" s="26" t="n">
        <x:v>40</x:v>
      </x:c>
      <x:c r="B41" s="26" t="str">
        <x:v>Tier 3</x:v>
      </x:c>
      <x:c r="C41" s="26" t="str">
        <x:v>Decision/social neuroscience</x:v>
      </x:c>
      <x:c r="D41" s="26" t="str">
        <x:v>Theory/review paper</x:v>
      </x:c>
      <x:c r="E41" s="26" t="str">
        <x:v>Dual-Process and Decision-Making Under Uncertainty Literature Anchor</x:v>
      </x:c>
      <x:c r="F41" s="26" t="n">
        <x:v>2009</x:v>
      </x:c>
      <x:c r="G41" s="26" t="str">
        <x:v>Evans / Stanovich / Kahneman line</x:v>
      </x:c>
      <x:c r="H41" s="26" t="str">
        <x:v>Behavioral/cognitive theory</x:v>
      </x:c>
      <x:c r="I41" s="26" t="str">
        <x:v>Individual/social</x:v>
      </x:c>
      <x:c r="J41" s="26" t="str">
        <x:v>Uncertainty, reasoning, intuition/control</x:v>
      </x:c>
      <x:c r="K41" s="26" t="str">
        <x:v>Publication only</x:v>
      </x:c>
      <x:c r="L41" s="26" t="str"/>
      <x:c r="M41" s="26" t="str">
        <x:v>https://www.annualreviews.org/content/journals/10.1146/annurev-psych-122216-011832</x:v>
      </x:c>
      <x:c r="N41" s="26" t="str">
        <x:v>Needed theoretical anchor for ARL reasoning/confidence.</x:v>
      </x:c>
      <x:c r="O41" s="26" t="str">
        <x:v>Not dataset or physiology.</x:v>
      </x:c>
      <x:c r="P41" s="26" t="str">
        <x:v>Medium</x:v>
      </x:c>
      <x:c r="Q41" s="26" t="str">
        <x:v>To verify</x:v>
      </x:c>
      <x:c r="R41" s="26" t="str">
        <x:v>Replace with exact preferred paper later</x:v>
      </x:c>
    </x:row>
    <x:row r="42">
      <x:c r="A42" s="26" t="n">
        <x:v>41</x:v>
      </x:c>
      <x:c r="B42" s="26" t="str">
        <x:v>Tier 3</x:v>
      </x:c>
      <x:c r="C42" s="26" t="str">
        <x:v>Deception/social deduction</x:v>
      </x:c>
      <x:c r="D42" s="26" t="str">
        <x:v>Dataset paper</x:v>
      </x:c>
      <x:c r="E42" s="26" t="str">
        <x:v>Box of Lies: Multimodal Deception Detection in Dialogues</x:v>
      </x:c>
      <x:c r="F42" s="26" t="n">
        <x:v>2019</x:v>
      </x:c>
      <x:c r="G42" s="26" t="str">
        <x:v>Soldner et al.</x:v>
      </x:c>
      <x:c r="H42" s="26" t="str">
        <x:v>Dialogue; audio; video; nonverbal/verbal features</x:v>
      </x:c>
      <x:c r="I42" s="26" t="str">
        <x:v>Dyads</x:v>
      </x:c>
      <x:c r="J42" s="26" t="str">
        <x:v>Deception dialogue game</x:v>
      </x:c>
      <x:c r="K42" s="26" t="str">
        <x:v>Data on request</x:v>
      </x:c>
      <x:c r="L42" s="26" t="str">
        <x:v>https://web.eecs.umich.edu/~mihalcea/papers/soldner.naacl19.pdf</x:v>
      </x:c>
      <x:c r="M42" s="26" t="str">
        <x:v>https://web.eecs.umich.edu/~mihalcea/papers/soldner.naacl19.pdf</x:v>
      </x:c>
      <x:c r="N42" s="26" t="str">
        <x:v>Very relevant multimodal deception-in-dialogue dataset.</x:v>
      </x:c>
      <x:c r="O42" s="26" t="str">
        <x:v>No physiology; dyadic; smaller controlled game.</x:v>
      </x:c>
      <x:c r="P42" s="26" t="str">
        <x:v>High</x:v>
      </x:c>
      <x:c r="Q42" s="26" t="str">
        <x:v>To review</x:v>
      </x:c>
      <x:c r="R42" s="26" t="str">
        <x:v>Important for deception section</x:v>
      </x:c>
    </x:row>
    <x:row r="43">
      <x:c r="A43" s="26" t="n">
        <x:v>42</x:v>
      </x:c>
      <x:c r="B43" s="26" t="str">
        <x:v>Tier 3</x:v>
      </x:c>
      <x:c r="C43" s="26" t="str">
        <x:v>Deception/social deduction</x:v>
      </x:c>
      <x:c r="D43" s="26" t="str">
        <x:v>Dataset paper</x:v>
      </x:c>
      <x:c r="E43" s="26" t="str">
        <x:v>Bag-of-Lies: Multimodal Dataset for Deception Detection</x:v>
      </x:c>
      <x:c r="F43" s="26" t="n">
        <x:v>2019</x:v>
      </x:c>
      <x:c r="G43" s="26" t="str">
        <x:v>Gupta et al.</x:v>
      </x:c>
      <x:c r="H43" s="26" t="str">
        <x:v>EEG; video; audio?; behavioral/questionnaire depending release</x:v>
      </x:c>
      <x:c r="I43" s="26" t="str">
        <x:v>Individual/dyadic</x:v>
      </x:c>
      <x:c r="J43" s="26" t="str">
        <x:v>Casual deception scenarios</x:v>
      </x:c>
      <x:c r="K43" s="26" t="str">
        <x:v>Research access</x:v>
      </x:c>
      <x:c r="L43" s="26" t="str">
        <x:v>https://paperswithcode.com/dataset/bag-of-lies</x:v>
      </x:c>
      <x:c r="M43" s="26" t="str">
        <x:v>https://ieeexplore.ieee.org/document/8901672/</x:v>
      </x:c>
      <x:c r="N43" s="26" t="str">
        <x:v>Relevant because deception plus EEG appears together.</x:v>
      </x:c>
      <x:c r="O43" s="26" t="str">
        <x:v>Need verify modalities/access; not group social deduction.</x:v>
      </x:c>
      <x:c r="P43" s="26" t="str">
        <x:v>High</x:v>
      </x:c>
      <x:c r="Q43" s="26" t="str">
        <x:v>To verify</x:v>
      </x:c>
      <x:c r="R43" s="26" t="str">
        <x:v>Very important if accessible</x:v>
      </x:c>
    </x:row>
    <x:row r="44">
      <x:c r="A44" s="26" t="n">
        <x:v>43</x:v>
      </x:c>
      <x:c r="B44" s="26" t="str">
        <x:v>Tier 3</x:v>
      </x:c>
      <x:c r="C44" s="26" t="str">
        <x:v>Deception/social deduction</x:v>
      </x:c>
      <x:c r="D44" s="26" t="str">
        <x:v>Dataset paper</x:v>
      </x:c>
      <x:c r="E44" s="26" t="str">
        <x:v>EEG Dataset for Lie Detection Based on EEG Signals and Wavelets</x:v>
      </x:c>
      <x:c r="F44" s="26" t="n">
        <x:v>2024</x:v>
      </x:c>
      <x:c r="G44" s="26" t="str">
        <x:v>Mendeley Data</x:v>
      </x:c>
      <x:c r="H44" s="26" t="str">
        <x:v>EEG from Emotiv Insight</x:v>
      </x:c>
      <x:c r="I44" s="26" t="str">
        <x:v>Individual</x:v>
      </x:c>
      <x:c r="J44" s="26" t="str">
        <x:v>Lie/truth-telling bead-box task</x:v>
      </x:c>
      <x:c r="K44" s="26" t="str">
        <x:v>Public</x:v>
      </x:c>
      <x:c r="L44" s="26" t="str">
        <x:v>https://data.mendeley.com/datasets/5gzxb2bzs2</x:v>
      </x:c>
      <x:c r="M44" s="26" t="str">
        <x:v>https://data.mendeley.com/datasets/5gzxb2bzs2</x:v>
      </x:c>
      <x:c r="N44" s="26" t="str">
        <x:v>Useful because ARL uses Emotiv Insight and deception-relevant task.</x:v>
      </x:c>
      <x:c r="O44" s="26" t="str">
        <x:v>No group interaction/multimodal physiology.</x:v>
      </x:c>
      <x:c r="P44" s="26" t="str">
        <x:v>Medium</x:v>
      </x:c>
      <x:c r="Q44" s="26" t="str">
        <x:v>To review</x:v>
      </x:c>
      <x:c r="R44" s="26" t="str">
        <x:v>Good methods pilot reference</x:v>
      </x:c>
    </x:row>
    <x:row r="45">
      <x:c r="A45" s="26" t="n">
        <x:v>44</x:v>
      </x:c>
      <x:c r="B45" s="26" t="str">
        <x:v>Tier 3</x:v>
      </x:c>
      <x:c r="C45" s="26" t="str">
        <x:v>Deception/social deduction</x:v>
      </x:c>
      <x:c r="D45" s="26" t="str">
        <x:v>Research paper</x:v>
      </x:c>
      <x:c r="E45" s="26" t="str">
        <x:v>Werewolf Among Us: Multimodal Resources for Social Deduction</x:v>
      </x:c>
      <x:c r="F45" s="26" t="n">
        <x:v>2023</x:v>
      </x:c>
      <x:c r="G45" s="26" t="str">
        <x:v>Lai et al.</x:v>
      </x:c>
      <x:c r="H45" s="26" t="str">
        <x:v>Video; dialogue/text; game logs</x:v>
      </x:c>
      <x:c r="I45" s="26" t="str">
        <x:v>Groups</x:v>
      </x:c>
      <x:c r="J45" s="26" t="str">
        <x:v>One Night Ultimate Werewolf / Among Us</x:v>
      </x:c>
      <x:c r="K45" s="26" t="str">
        <x:v>Research/public depending subset</x:v>
      </x:c>
      <x:c r="L45" s="26" t="str"/>
      <x:c r="M45" s="26" t="str">
        <x:v>https://aclanthology.org/2023.findings-acl.411.pdf</x:v>
      </x:c>
      <x:c r="N45" s="26" t="str">
        <x:v>Closest social deduction/gameplay reference.</x:v>
      </x:c>
      <x:c r="O45" s="26" t="str">
        <x:v>No physiology; sourced from videos/games not lab acquisition.</x:v>
      </x:c>
      <x:c r="P45" s="26" t="str">
        <x:v>High</x:v>
      </x:c>
      <x:c r="Q45" s="26" t="str">
        <x:v>To review</x:v>
      </x:c>
      <x:c r="R45" s="26" t="str">
        <x:v>Important conceptual citation</x:v>
      </x:c>
    </x:row>
    <x:row r="46">
      <x:c r="A46" s="26" t="n">
        <x:v>45</x:v>
      </x:c>
      <x:c r="B46" s="26" t="str">
        <x:v>Tier 3</x:v>
      </x:c>
      <x:c r="C46" s="26" t="str">
        <x:v>Deception/social deduction</x:v>
      </x:c>
      <x:c r="D46" s="26" t="str">
        <x:v>Research paper</x:v>
      </x:c>
      <x:c r="E46" s="26" t="str">
        <x:v>Finding Deceivers in Social Context with Large Language Models</x:v>
      </x:c>
      <x:c r="F46" s="26" t="n">
        <x:v>2024</x:v>
      </x:c>
      <x:c r="G46" s="26" t="str">
        <x:v>Yoo et al.</x:v>
      </x:c>
      <x:c r="H46" s="26" t="str">
        <x:v>Conversation/text; game context</x:v>
      </x:c>
      <x:c r="I46" s="26" t="str">
        <x:v>Groups</x:v>
      </x:c>
      <x:c r="J46" s="26" t="str">
        <x:v>Mafia/social deduction</x:v>
      </x:c>
      <x:c r="K46" s="26" t="str">
        <x:v>Publication/data uncertain</x:v>
      </x:c>
      <x:c r="L46" s="26" t="str"/>
      <x:c r="M46" s="26" t="str">
        <x:v>https://www.nature.com/articles/s41598-024-81997-5</x:v>
      </x:c>
      <x:c r="N46" s="26" t="str">
        <x:v>Directly relevant to social-context deceiver detection.</x:v>
      </x:c>
      <x:c r="O46" s="26" t="str">
        <x:v>No physiology/acquisition platform.</x:v>
      </x:c>
      <x:c r="P46" s="26" t="str">
        <x:v>Medium</x:v>
      </x:c>
      <x:c r="Q46" s="26" t="str">
        <x:v>To review</x:v>
      </x:c>
      <x:c r="R46" s="26" t="str">
        <x:v>Good AI arbitration link</x:v>
      </x:c>
    </x:row>
    <x:row r="47">
      <x:c r="A47" s="26" t="n">
        <x:v>46</x:v>
      </x:c>
      <x:c r="B47" s="26" t="str">
        <x:v>Tier 3</x:v>
      </x:c>
      <x:c r="C47" s="26" t="str">
        <x:v>Deception/social deduction</x:v>
      </x:c>
      <x:c r="D47" s="26" t="str">
        <x:v>Dataset paper</x:v>
      </x:c>
      <x:c r="E47" s="26" t="str">
        <x:v>Diplomacy / Deception in Negotiation Dataset</x:v>
      </x:c>
      <x:c r="F47" s="26" t="n">
        <x:v>2020</x:v>
      </x:c>
      <x:c r="G47" s="26" t="str">
        <x:v>Peskov et al.</x:v>
      </x:c>
      <x:c r="H47" s="26" t="str">
        <x:v>Text dialogue; game logs</x:v>
      </x:c>
      <x:c r="I47" s="26" t="str">
        <x:v>Groups/players</x:v>
      </x:c>
      <x:c r="J47" s="26" t="str">
        <x:v>Diplomacy negotiation and deception</x:v>
      </x:c>
      <x:c r="K47" s="26" t="str">
        <x:v>Public/research</x:v>
      </x:c>
      <x:c r="L47" s="26" t="str">
        <x:v>https://sites.google.com/view/qanta/projects/diplomacy</x:v>
      </x:c>
      <x:c r="M47" s="26" t="str">
        <x:v>https://aclanthology.org/2020.acl-main.353/</x:v>
      </x:c>
      <x:c r="N47" s="26" t="str">
        <x:v>Useful for deception and strategic communication modeling.</x:v>
      </x:c>
      <x:c r="O47" s="26" t="str">
        <x:v>Text-only; no sensor data.</x:v>
      </x:c>
      <x:c r="P47" s="26" t="str">
        <x:v>Medium</x:v>
      </x:c>
      <x:c r="Q47" s="26" t="str">
        <x:v>To verify</x:v>
      </x:c>
      <x:c r="R47" s="26" t="str">
        <x:v>Useful for language features</x:v>
      </x:c>
    </x:row>
    <x:row r="48">
      <x:c r="A48" s="26" t="n">
        <x:v>47</x:v>
      </x:c>
      <x:c r="B48" s="26" t="str">
        <x:v>Tier 3</x:v>
      </x:c>
      <x:c r="C48" s="26" t="str">
        <x:v>Deception/social deduction</x:v>
      </x:c>
      <x:c r="D48" s="26" t="str">
        <x:v>Dataset paper</x:v>
      </x:c>
      <x:c r="E48" s="26" t="str">
        <x:v>Bayesian Social Deduction with Graph-Informed Language Models Dataset</x:v>
      </x:c>
      <x:c r="F48" s="26" t="n">
        <x:v>2025</x:v>
      </x:c>
      <x:c r="G48" s="26" t="str">
        <x:v>Rahimirad et al.</x:v>
      </x:c>
      <x:c r="H48" s="26" t="str">
        <x:v>Game logs; language; agents/humans</x:v>
      </x:c>
      <x:c r="I48" s="26" t="str">
        <x:v>Groups</x:v>
      </x:c>
      <x:c r="J48" s="26" t="str">
        <x:v>Avalon social deduction</x:v>
      </x:c>
      <x:c r="K48" s="26" t="str">
        <x:v>Public</x:v>
      </x:c>
      <x:c r="L48" s="26" t="str">
        <x:v>https://huggingface.co/datasets/shahabrahimirad/bayesian-social-deduction</x:v>
      </x:c>
      <x:c r="M48" s="26" t="str">
        <x:v>https://huggingface.co/datasets/shahabrahimirad/bayesian-social-deduction</x:v>
      </x:c>
      <x:c r="N48" s="26" t="str">
        <x:v>Recent social deduction dataset with strategic communication.</x:v>
      </x:c>
      <x:c r="O48" s="26" t="str">
        <x:v>No physiology; AI/game-log focus.</x:v>
      </x:c>
      <x:c r="P48" s="26" t="str">
        <x:v>Low</x:v>
      </x:c>
      <x:c r="Q48" s="26" t="str">
        <x:v>To verify</x:v>
      </x:c>
      <x:c r="R48" s="26" t="str">
        <x:v>Useful only for AI/deception framing</x:v>
      </x:c>
    </x:row>
    <x:row r="49">
      <x:c r="A49" s="26" t="n">
        <x:v>48</x:v>
      </x:c>
      <x:c r="B49" s="26" t="str">
        <x:v>Tier 3</x:v>
      </x:c>
      <x:c r="C49" s="26" t="str">
        <x:v>Deception/social deduction</x:v>
      </x:c>
      <x:c r="D49" s="26" t="str">
        <x:v>Research paper</x:v>
      </x:c>
      <x:c r="E49" s="26" t="str">
        <x:v>Evaluating LLMs in Social Deduction Games with Human Multimodal Werewolf Data</x:v>
      </x:c>
      <x:c r="F49" s="26" t="n">
        <x:v>2026</x:v>
      </x:c>
      <x:c r="G49" s="26" t="str">
        <x:v>Authors TBD</x:v>
      </x:c>
      <x:c r="H49" s="26" t="str">
        <x:v>Video; utterances; rule variants</x:v>
      </x:c>
      <x:c r="I49" s="26" t="str">
        <x:v>Groups</x:v>
      </x:c>
      <x:c r="J49" s="26" t="str">
        <x:v>Werewolf/social deduction</x:v>
      </x:c>
      <x:c r="K49" s="26" t="str">
        <x:v>Publication/data uncertain</x:v>
      </x:c>
      <x:c r="L49" s="26" t="str"/>
      <x:c r="M49" s="26" t="str">
        <x:v>https://arxiv.org/html/2510.11389v1</x:v>
      </x:c>
      <x:c r="N49" s="26" t="str">
        <x:v>Very relevant emerging multimodal social-deduction direction.</x:v>
      </x:c>
      <x:c r="O49" s="26" t="str">
        <x:v>Likely no physiology; needs verification due preprint status.</x:v>
      </x:c>
      <x:c r="P49" s="26" t="str">
        <x:v>Medium</x:v>
      </x:c>
      <x:c r="Q49" s="26" t="str">
        <x:v>To verify</x:v>
      </x:c>
      <x:c r="R49" s="26" t="str">
        <x:v>Recent field direction</x:v>
      </x:c>
    </x:row>
    <x:row r="50">
      <x:c r="A50" s="26" t="n">
        <x:v>49</x:v>
      </x:c>
      <x:c r="B50" s="26" t="str">
        <x:v>Tier 4</x:v>
      </x:c>
      <x:c r="C50" s="26" t="str">
        <x:v>Acquisition/synchronization</x:v>
      </x:c>
      <x:c r="D50" s="26" t="str">
        <x:v>Software/tool paper</x:v>
      </x:c>
      <x:c r="E50" s="26" t="str">
        <x:v>EYE-EEG: Synchronization and Analysis of Eye Tracking and EEG Data</x:v>
      </x:c>
      <x:c r="F50" s="26" t="n">
        <x:v>2014</x:v>
      </x:c>
      <x:c r="G50" s="26" t="str">
        <x:v>Dimigen et al.</x:v>
      </x:c>
      <x:c r="H50" s="26" t="str">
        <x:v>EEG; eye tracking synchronization/software</x:v>
      </x:c>
      <x:c r="I50" s="26" t="str">
        <x:v>Individual</x:v>
      </x:c>
      <x:c r="J50" s="26" t="str">
        <x:v>EEG-eye co-registration</x:v>
      </x:c>
      <x:c r="K50" s="26" t="str">
        <x:v>Open software/resources</x:v>
      </x:c>
      <x:c r="L50" s="26" t="str">
        <x:v>https://www.eyetracking-eeg.org/</x:v>
      </x:c>
      <x:c r="M50" s="26" t="str">
        <x:v>https://link.springer.com/article/10.3758/s13428-013-0429-3</x:v>
      </x:c>
      <x:c r="N50" s="26" t="str">
        <x:v>Important for ARL EEG + EyeLogic preprocessing strategy.</x:v>
      </x:c>
      <x:c r="O50" s="26" t="str">
        <x:v>Not group/multimodal physiology beyond EEG-eye.</x:v>
      </x:c>
      <x:c r="P50" s="26" t="str">
        <x:v>High</x:v>
      </x:c>
      <x:c r="Q50" s="26" t="str">
        <x:v>To review</x:v>
      </x:c>
      <x:c r="R50" s="26" t="str">
        <x:v>Useful for preprocessing pipeline</x:v>
      </x:c>
    </x:row>
    <x:row r="51">
      <x:c r="A51" s="26" t="n">
        <x:v>50</x:v>
      </x:c>
      <x:c r="B51" s="26" t="str">
        <x:v>Tier 4</x:v>
      </x:c>
      <x:c r="C51" s="26" t="str">
        <x:v>Acquisition/synchronization</x:v>
      </x:c>
      <x:c r="D51" s="26" t="str">
        <x:v>Standard/spec paper</x:v>
      </x:c>
      <x:c r="E51" s="26" t="str">
        <x:v>Brain Imaging Data Structure (BIDS) and Extensions for EEG/iEEG/physiology</x:v>
      </x:c>
      <x:c r="F51" s="26" t="n">
        <x:v>2016</x:v>
      </x:c>
      <x:c r="G51" s="26" t="str">
        <x:v>Gorgolewski et al. / BIDS community</x:v>
      </x:c>
      <x:c r="H51" s="26" t="str">
        <x:v>Data standard / metadata</x:v>
      </x:c>
      <x:c r="I51" s="26" t="str">
        <x:v>Any</x:v>
      </x:c>
      <x:c r="J51" s="26" t="str">
        <x:v>Neuroimaging data organization</x:v>
      </x:c>
      <x:c r="K51" s="26" t="str">
        <x:v>Open</x:v>
      </x:c>
      <x:c r="L51" s="26" t="str">
        <x:v>https://bids.neuroimaging.io/</x:v>
      </x:c>
      <x:c r="M51" s="26" t="str">
        <x:v>https://www.nature.com/articles/sdata201644</x:v>
      </x:c>
      <x:c r="N51" s="26" t="str">
        <x:v>Important for ARL dataset organization and metadata standardization.</x:v>
      </x:c>
      <x:c r="O51" s="26" t="str">
        <x:v>Not a dataset; ARL may need BIDS-inspired not fully BIDS.</x:v>
      </x:c>
      <x:c r="P51" s="26" t="str">
        <x:v>High</x:v>
      </x:c>
      <x:c r="Q51" s="26" t="str">
        <x:v>To review</x:v>
      </x:c>
      <x:c r="R51" s="26" t="str">
        <x:v>Must consider for Scientific Data release</x:v>
      </x:c>
    </x:row>
  </x:sheetData>
  <x:conditionalFormatting sqref="P2:P51">
    <x:cfRule type="expression" dxfId="0" priority="1">
      <x:formula>P2="Must read"</x:formula>
    </x:cfRule>
    <x:cfRule type="expression" dxfId="1" priority="2">
      <x:formula>P2="High"</x:formula>
    </x:cfRule>
  </x:conditionalFormatting>
  <x:conditionalFormatting sqref="Q2:Q51">
    <x:cfRule type="expression" dxfId="2" priority="3">
      <x:formula>Q2="To verify"</x:formula>
    </x:cfRule>
  </x:conditionalFormatting>
  <x:dataValidations count="2">
    <x:dataValidation type="list" sqref="P2:P51">
      <x:formula1>"Must read,High,Medium,Low"</x:formula1>
    </x:dataValidation>
    <x:dataValidation type="list" sqref="Q2:Q51">
      <x:formula1>"To review,Reviewed,To verify,Downloaded,Requested access,Not relevant"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6e9f7cc203442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22" hidden="0" customWidth="1"/>
    <x:col min="4" max="4" width="18" hidden="0" customWidth="1"/>
    <x:col min="5" max="5" width="42" hidden="0" customWidth="1"/>
    <x:col min="6" max="6" width="8" hidden="0" customWidth="1"/>
    <x:col min="7" max="7" width="28" hidden="0" customWidth="1"/>
    <x:col min="8" max="8" width="34" hidden="0" customWidth="1"/>
    <x:col min="9" max="9" width="18" hidden="0" customWidth="1"/>
    <x:col min="10" max="10" width="28" hidden="0" customWidth="1"/>
    <x:col min="11" max="11" width="18" hidden="0" customWidth="1"/>
    <x:col min="12" max="12" width="38" hidden="0" customWidth="1"/>
    <x:col min="13" max="13" width="38" hidden="0" customWidth="1"/>
    <x:col min="14" max="14" width="42" hidden="0" customWidth="1"/>
    <x:col min="15" max="15" width="36" hidden="0" customWidth="1"/>
    <x:col min="16" max="16" width="12" hidden="0" customWidth="1"/>
    <x:col min="17" max="17" width="14" hidden="0" customWidth="1"/>
    <x:col min="18" max="18" width="28" hidden="0" customWidth="1"/>
  </x:cols>
  <x:sheetData>
    <x:row r="1" ht="36" customHeight="1">
      <x:c r="A1" s="20" t="str">
        <x:v>ID</x:v>
      </x:c>
      <x:c r="B1" s="20" t="str">
        <x:v>Tier</x:v>
      </x:c>
      <x:c r="C1" s="20" t="str">
        <x:v>Category</x:v>
      </x:c>
      <x:c r="D1" s="20" t="str">
        <x:v>Type</x:v>
      </x:c>
      <x:c r="E1" s="20" t="str">
        <x:v>Title / Dataset</x:v>
      </x:c>
      <x:c r="F1" s="20" t="str">
        <x:v>Year</x:v>
      </x:c>
      <x:c r="G1" s="20" t="str">
        <x:v>Primary Authors / Source</x:v>
      </x:c>
      <x:c r="H1" s="20" t="str">
        <x:v>Modalities / Signals</x:v>
      </x:c>
      <x:c r="I1" s="20" t="str">
        <x:v>Group Setting</x:v>
      </x:c>
      <x:c r="J1" s="20" t="str">
        <x:v>Task / Paradigm</x:v>
      </x:c>
      <x:c r="K1" s="20" t="str">
        <x:v>Access Status</x:v>
      </x:c>
      <x:c r="L1" s="20" t="str">
        <x:v>Dataset / Access URL</x:v>
      </x:c>
      <x:c r="M1" s="20" t="str">
        <x:v>Paper / Reference URL</x:v>
      </x:c>
      <x:c r="N1" s="20" t="str">
        <x:v>Why Relevant to ARL</x:v>
      </x:c>
      <x:c r="O1" s="20" t="str">
        <x:v>ARL Gap / Difference</x:v>
      </x:c>
      <x:c r="P1" s="20" t="str">
        <x:v>Priority</x:v>
      </x:c>
      <x:c r="Q1" s="20" t="str">
        <x:v>Status</x:v>
      </x:c>
      <x:c r="R1" s="20" t="str">
        <x:v>Notes</x:v>
      </x:c>
    </x:row>
    <x:row r="2">
      <x:c r="A2" s="26" t="n">
        <x:v>1</x:v>
      </x:c>
      <x:c r="B2" s="26" t="str">
        <x:v>Tier 1</x:v>
      </x:c>
      <x:c r="C2" s="26" t="str">
        <x:v>Core multimodal datasets</x:v>
      </x:c>
      <x:c r="D2" s="26" t="str">
        <x:v>Dataset paper</x:v>
      </x:c>
      <x:c r="E2" s="26" t="str">
        <x:v>AMIGOS: A Dataset for Affect, Personality and Mood Research on Individuals and Groups</x:v>
      </x:c>
      <x:c r="F2" s="26" t="n">
        <x:v>2017</x:v>
      </x:c>
      <x:c r="G2" s="26" t="str">
        <x:v>Miranda-Correa et al.</x:v>
      </x:c>
      <x:c r="H2" s="26" t="str">
        <x:v>EEG; ECG; GSR; frontal HD video; RGB/depth video</x:v>
      </x:c>
      <x:c r="I2" s="26" t="str">
        <x:v>Individual + groups</x:v>
      </x:c>
      <x:c r="J2" s="26" t="str">
        <x:v>Affective video viewing</x:v>
      </x:c>
      <x:c r="K2" s="26" t="str">
        <x:v>Registration/public academic</x:v>
      </x:c>
      <x:c r="L2" s="26" t="str">
        <x:v>http://www.eecs.qmul.ac.uk/mmv/datasets/amigos/download.html</x:v>
      </x:c>
      <x:c r="M2" s="26" t="str">
        <x:v>https://arxiv.org/abs/1702.02510</x:v>
      </x:c>
      <x:c r="N2" s="26" t="str">
        <x:v>Closest prior dataset combining wearable physiology with group context.</x:v>
      </x:c>
      <x:c r="O2" s="26" t="str">
        <x:v>No eye tracking, EMG, individual microphones, social deduction, voting, confidence, or reasoning rounds.</x:v>
      </x:c>
      <x:c r="P2" s="26" t="str">
        <x:v>Must read</x:v>
      </x:c>
      <x:c r="Q2" s="26" t="str">
        <x:v>To review</x:v>
      </x:c>
      <x:c r="R2" s="26" t="str">
        <x:v>Download/request access</x:v>
      </x:c>
    </x:row>
    <x:row r="3">
      <x:c r="A3" s="26" t="n">
        <x:v>2</x:v>
      </x:c>
      <x:c r="B3" s="26" t="str">
        <x:v>Tier 1</x:v>
      </x:c>
      <x:c r="C3" s="26" t="str">
        <x:v>Core multimodal datasets</x:v>
      </x:c>
      <x:c r="D3" s="26" t="str">
        <x:v>Dataset paper</x:v>
      </x:c>
      <x:c r="E3" s="26" t="str">
        <x:v>MAHNOB-HCI: A Multimodal Database for Affect Recognition and Implicit Tagging</x:v>
      </x:c>
      <x:c r="F3" s="26" t="n">
        <x:v>2011</x:v>
      </x:c>
      <x:c r="G3" s="26" t="str">
        <x:v>Soleymani et al.</x:v>
      </x:c>
      <x:c r="H3" s="26" t="str">
        <x:v>EEG; ECG; GSR; eye gaze; audio; video</x:v>
      </x:c>
      <x:c r="I3" s="26" t="str">
        <x:v>Individual</x:v>
      </x:c>
      <x:c r="J3" s="26" t="str">
        <x:v>Affective stimuli / implicit tagging</x:v>
      </x:c>
      <x:c r="K3" s="26" t="str">
        <x:v>Registration</x:v>
      </x:c>
      <x:c r="L3" s="26" t="str">
        <x:v>https://mahnob-db.eu/hci-tagging/</x:v>
      </x:c>
      <x:c r="M3" s="26" t="str">
        <x:v>https://ieeexplore.ieee.org/document/5975141/</x:v>
      </x:c>
      <x:c r="N3" s="26" t="str">
        <x:v>Classic multimodal physiology + audiovisual benchmark.</x:v>
      </x:c>
      <x:c r="O3" s="26" t="str">
        <x:v>Single participant; no group interaction or decision-making.</x:v>
      </x:c>
      <x:c r="P3" s="26" t="str">
        <x:v>Must read</x:v>
      </x:c>
      <x:c r="Q3" s="26" t="str">
        <x:v>To review</x:v>
      </x:c>
      <x:c r="R3" s="26" t="str">
        <x:v>Use for acquisition and metadata comparison</x:v>
      </x:c>
    </x:row>
    <x:row r="4">
      <x:c r="A4" s="26" t="n">
        <x:v>3</x:v>
      </x:c>
      <x:c r="B4" s="26" t="str">
        <x:v>Tier 1</x:v>
      </x:c>
      <x:c r="C4" s="26" t="str">
        <x:v>Core multimodal datasets</x:v>
      </x:c>
      <x:c r="D4" s="26" t="str">
        <x:v>Dataset paper</x:v>
      </x:c>
      <x:c r="E4" s="26" t="str">
        <x:v>K-EmoCon: A Multimodal Sensor Dataset for Continuous Emotion Recognition in Naturalistic Conversations</x:v>
      </x:c>
      <x:c r="F4" s="26" t="n">
        <x:v>2020</x:v>
      </x:c>
      <x:c r="G4" s="26" t="str">
        <x:v>Park et al.</x:v>
      </x:c>
      <x:c r="H4" s="26" t="str">
        <x:v>EEG; PPG; EDA/GSR; HR; audio; video; annotations</x:v>
      </x:c>
      <x:c r="I4" s="26" t="str">
        <x:v>Dyads</x:v>
      </x:c>
      <x:c r="J4" s="26" t="str">
        <x:v>Paired debate / natural conversation</x:v>
      </x:c>
      <x:c r="K4" s="26" t="str">
        <x:v>Public</x:v>
      </x:c>
      <x:c r="L4" s="26" t="str">
        <x:v>https://zenodo.org/records/3762962</x:v>
      </x:c>
      <x:c r="M4" s="26" t="str">
        <x:v>https://www.nature.com/articles/s41597-020-00630-y</x:v>
      </x:c>
      <x:c r="N4" s="26" t="str">
        <x:v>Naturalistic interaction with EEG and peripheral physiology.</x:v>
      </x:c>
      <x:c r="O4" s="26" t="str">
        <x:v>Only dyads; emotion focus; no deception/game structure or voting.</x:v>
      </x:c>
      <x:c r="P4" s="26" t="str">
        <x:v>Must read</x:v>
      </x:c>
      <x:c r="Q4" s="26" t="str">
        <x:v>To review</x:v>
      </x:c>
      <x:c r="R4" s="26" t="str">
        <x:v>Very useful for annotation design</x:v>
      </x:c>
    </x:row>
    <x:row r="5">
      <x:c r="A5" s="26" t="n">
        <x:v>4</x:v>
      </x:c>
      <x:c r="B5" s="26" t="str">
        <x:v>Tier 1</x:v>
      </x:c>
      <x:c r="C5" s="26" t="str">
        <x:v>Core multimodal datasets</x:v>
      </x:c>
      <x:c r="D5" s="26" t="str">
        <x:v>Dataset paper</x:v>
      </x:c>
      <x:c r="E5" s="26" t="str">
        <x:v>DEAP: A Database for Emotion Analysis using Physiological Signals</x:v>
      </x:c>
      <x:c r="F5" s="26" t="n">
        <x:v>2012</x:v>
      </x:c>
      <x:c r="G5" s="26" t="str">
        <x:v>Koelstra et al.</x:v>
      </x:c>
      <x:c r="H5" s="26" t="str">
        <x:v>EEG; EMG; EOG; GSR; respiration; skin temperature; face video</x:v>
      </x:c>
      <x:c r="I5" s="26" t="str">
        <x:v>Individual</x:v>
      </x:c>
      <x:c r="J5" s="26" t="str">
        <x:v>Music video emotion elicitation</x:v>
      </x:c>
      <x:c r="K5" s="26" t="str">
        <x:v>Registration</x:v>
      </x:c>
      <x:c r="L5" s="26" t="str">
        <x:v>https://www.eecs.qmul.ac.uk/mmv/datasets/deap/download.html</x:v>
      </x:c>
      <x:c r="M5" s="26" t="str">
        <x:v>https://research.utwente.nl/en/publications/deap-a-database-for-emotion-analysis-using-physiological-signals/</x:v>
      </x:c>
      <x:c r="N5" s="26" t="str">
        <x:v>Canonical multimodal physiological benchmark.</x:v>
      </x:c>
      <x:c r="O5" s="26" t="str">
        <x:v>Individual passive viewing; no social interaction or real-time group task.</x:v>
      </x:c>
      <x:c r="P5" s="26" t="str">
        <x:v>Must read</x:v>
      </x:c>
      <x:c r="Q5" s="26" t="str">
        <x:v>To review</x:v>
      </x:c>
      <x:c r="R5" s="26" t="str">
        <x:v>Expected citation in affective computing</x:v>
      </x:c>
    </x:row>
    <x:row r="6">
      <x:c r="A6" s="26" t="n">
        <x:v>5</x:v>
      </x:c>
      <x:c r="B6" s="26" t="str">
        <x:v>Tier 1</x:v>
      </x:c>
      <x:c r="C6" s="26" t="str">
        <x:v>Core multimodal datasets</x:v>
      </x:c>
      <x:c r="D6" s="26" t="str">
        <x:v>Dataset paper</x:v>
      </x:c>
      <x:c r="E6" s="26" t="str">
        <x:v>GroupAffect-4: A Multimodal Dataset of Four-Person Collaborative Interaction</x:v>
      </x:c>
      <x:c r="F6" s="26" t="n">
        <x:v>2026</x:v>
      </x:c>
      <x:c r="G6" s="26" t="str">
        <x:v>Jamshidi Seikavandi et al.</x:v>
      </x:c>
      <x:c r="H6" s="26" t="str">
        <x:v>Wrist physiology; eye-tracking glasses; close-talk microphones; self-report; task outcomes</x:v>
      </x:c>
      <x:c r="I6" s="26" t="str">
        <x:v>Four-person groups</x:v>
      </x:c>
      <x:c r="J6" s="26" t="str">
        <x:v>Hidden-profile decision; negotiation; idea generation; public-goods game</x:v>
      </x:c>
      <x:c r="K6" s="26" t="str">
        <x:v>Public</x:v>
      </x:c>
      <x:c r="L6" s="26" t="str">
        <x:v>https://zenodo.org/records/20037847</x:v>
      </x:c>
      <x:c r="M6" s="26" t="str">
        <x:v>https://arxiv.org/abs/2605.19765</x:v>
      </x:c>
      <x:c r="N6" s="26" t="str">
        <x:v>Closest modern comparison for ARL group interaction and LSL-style synchronized multimodal collection.</x:v>
      </x:c>
      <x:c r="O6" s="26" t="str">
        <x:v>No EEG/EMG; not social deduction; four-person not five-person.</x:v>
      </x:c>
      <x:c r="P6" s="26" t="str">
        <x:v>Must read</x:v>
      </x:c>
      <x:c r="Q6" s="26" t="str">
        <x:v>To review</x:v>
      </x:c>
      <x:c r="R6" s="26" t="str">
        <x:v>Highest priority after ARL protocol</x:v>
      </x:c>
    </x:row>
    <x:row r="7">
      <x:c r="A7" s="26" t="n">
        <x:v>6</x:v>
      </x:c>
      <x:c r="B7" s="26" t="str">
        <x:v>Tier 1</x:v>
      </x:c>
      <x:c r="C7" s="26" t="str">
        <x:v>Social affect / dyadic datasets</x:v>
      </x:c>
      <x:c r="D7" s="26" t="str">
        <x:v>Dataset paper</x:v>
      </x:c>
      <x:c r="E7" s="26" t="str">
        <x:v>RECOLA: Remote Collaborative and Affective Interactions</x:v>
      </x:c>
      <x:c r="F7" s="26" t="n">
        <x:v>2013</x:v>
      </x:c>
      <x:c r="G7" s="26" t="str">
        <x:v>Ringeval et al.</x:v>
      </x:c>
      <x:c r="H7" s="26" t="str">
        <x:v>Audio; video; ECG; EDA</x:v>
      </x:c>
      <x:c r="I7" s="26" t="str">
        <x:v>Dyads</x:v>
      </x:c>
      <x:c r="J7" s="26" t="str">
        <x:v>Remote collaborative task</x:v>
      </x:c>
      <x:c r="K7" s="26" t="str">
        <x:v>Academic access</x:v>
      </x:c>
      <x:c r="L7" s="26" t="str">
        <x:v>https://recola.human-ist.ch/</x:v>
      </x:c>
      <x:c r="M7" s="26" t="str">
        <x:v>https://recola.human-ist.ch/data/emoSPACE13_RECOLA_Database.pdf</x:v>
      </x:c>
      <x:c r="N7" s="26" t="str">
        <x:v>Strong example of synchronized affective dyadic interaction.</x:v>
      </x:c>
      <x:c r="O7" s="26" t="str">
        <x:v>No EEG/eye tracking/EMG; dyadic remote collaboration.</x:v>
      </x:c>
      <x:c r="P7" s="26" t="str">
        <x:v>High</x:v>
      </x:c>
      <x:c r="Q7" s="26" t="str">
        <x:v>To review</x:v>
      </x:c>
      <x:c r="R7" s="26" t="str">
        <x:v>Useful for continuous annotation and sync</x:v>
      </x:c>
    </x:row>
    <x:row r="8">
      <x:c r="A8" s="26" t="n">
        <x:v>7</x:v>
      </x:c>
      <x:c r="B8" s="26" t="str">
        <x:v>Tier 1</x:v>
      </x:c>
      <x:c r="C8" s="26" t="str">
        <x:v>Social interaction datasets</x:v>
      </x:c>
      <x:c r="D8" s="26" t="str">
        <x:v>Dataset paper</x:v>
      </x:c>
      <x:c r="E8" s="26" t="str">
        <x:v>SEWA DB: Audio-Visual Emotion and Sentiment Research in the Wild</x:v>
      </x:c>
      <x:c r="F8" s="26" t="n">
        <x:v>2021</x:v>
      </x:c>
      <x:c r="G8" s="26" t="str">
        <x:v>Kossaifi et al.</x:v>
      </x:c>
      <x:c r="H8" s="26" t="str">
        <x:v>Audio; video; facial landmarks; action units; vocal cues</x:v>
      </x:c>
      <x:c r="I8" s="26" t="str">
        <x:v>Dyads</x:v>
      </x:c>
      <x:c r="J8" s="26" t="str">
        <x:v>Natural web-based conversations</x:v>
      </x:c>
      <x:c r="K8" s="26" t="str">
        <x:v>Research access</x:v>
      </x:c>
      <x:c r="L8" s="26" t="str">
        <x:v>http://db.sewaproject.eu/</x:v>
      </x:c>
      <x:c r="M8" s="26" t="str">
        <x:v>https://pubmed.ncbi.nlm.nih.gov/31581074/</x:v>
      </x:c>
      <x:c r="N8" s="26" t="str">
        <x:v>Useful for in-the-wild audiovisual affect and dyadic interaction.</x:v>
      </x:c>
      <x:c r="O8" s="26" t="str">
        <x:v>No physiology; not group decision making.</x:v>
      </x:c>
      <x:c r="P8" s="26" t="str">
        <x:v>High</x:v>
      </x:c>
      <x:c r="Q8" s="26" t="str">
        <x:v>To review</x:v>
      </x:c>
      <x:c r="R8" s="26" t="str">
        <x:v>Relevant to audio/video annotation</x:v>
      </x:c>
    </x:row>
    <x:row r="9">
      <x:c r="A9" s="26" t="n">
        <x:v>8</x:v>
      </x:c>
      <x:c r="B9" s="26" t="str">
        <x:v>Tier 1</x:v>
      </x:c>
      <x:c r="C9" s="26" t="str">
        <x:v>Meeting / group interaction</x:v>
      </x:c>
      <x:c r="D9" s="26" t="str">
        <x:v>Dataset paper</x:v>
      </x:c>
      <x:c r="E9" s="26" t="str">
        <x:v>AMI Meeting Corpus</x:v>
      </x:c>
      <x:c r="F9" s="26" t="n">
        <x:v>2005</x:v>
      </x:c>
      <x:c r="G9" s="26" t="str">
        <x:v>Carletta et al.</x:v>
      </x:c>
      <x:c r="H9" s="26" t="str">
        <x:v>Individual and room microphones; video; projector; whiteboard; transcripts</x:v>
      </x:c>
      <x:c r="I9" s="26" t="str">
        <x:v>Groups</x:v>
      </x:c>
      <x:c r="J9" s="26" t="str">
        <x:v>Scenario-driven and natural meetings</x:v>
      </x:c>
      <x:c r="K9" s="26" t="str">
        <x:v>Public/research</x:v>
      </x:c>
      <x:c r="L9" s="26" t="str">
        <x:v>https://groups.inf.ed.ac.uk/ami/corpus/</x:v>
      </x:c>
      <x:c r="M9" s="26" t="str">
        <x:v>https://link.springer.com/chapter/10.1007/11677482_3</x:v>
      </x:c>
      <x:c r="N9" s="26" t="str">
        <x:v>Foundational multimodal group interaction dataset.</x:v>
      </x:c>
      <x:c r="O9" s="26" t="str">
        <x:v>No physiology; meeting task not deception or uncertainty voting.</x:v>
      </x:c>
      <x:c r="P9" s="26" t="str">
        <x:v>High</x:v>
      </x:c>
      <x:c r="Q9" s="26" t="str">
        <x:v>To review</x:v>
      </x:c>
      <x:c r="R9" s="26" t="str">
        <x:v>Useful for mic/camera setup comparison</x:v>
      </x:c>
    </x:row>
    <x:row r="10">
      <x:c r="A10" s="26" t="n">
        <x:v>9</x:v>
      </x:c>
      <x:c r="B10" s="26" t="str">
        <x:v>Tier 1</x:v>
      </x:c>
      <x:c r="C10" s="26" t="str">
        <x:v>Eye tracking + EEG</x:v>
      </x:c>
      <x:c r="D10" s="26" t="str">
        <x:v>Dataset paper</x:v>
      </x:c>
      <x:c r="E10" s="26" t="str">
        <x:v>EEGEyeNet: Simultaneous EEG and Eye-tracking Dataset and Benchmark</x:v>
      </x:c>
      <x:c r="F10" s="26" t="n">
        <x:v>2021</x:v>
      </x:c>
      <x:c r="G10" s="26" t="str">
        <x:v>Kastrati et al.</x:v>
      </x:c>
      <x:c r="H10" s="26" t="str">
        <x:v>EEG; eye tracking</x:v>
      </x:c>
      <x:c r="I10" s="26" t="str">
        <x:v>Individual</x:v>
      </x:c>
      <x:c r="J10" s="26" t="str">
        <x:v>Eye movement prediction paradigms</x:v>
      </x:c>
      <x:c r="K10" s="26" t="str">
        <x:v>Public</x:v>
      </x:c>
      <x:c r="L10" s="26" t="str">
        <x:v>https://github.com/ardkastrati/EEGEyeNet</x:v>
      </x:c>
      <x:c r="M10" s="26" t="str">
        <x:v>https://arxiv.org/abs/2111.05100</x:v>
      </x:c>
      <x:c r="N10" s="26" t="str">
        <x:v>Important EEG-eye tracking synchronization and benchmark reference.</x:v>
      </x:c>
      <x:c r="O10" s="26" t="str">
        <x:v>No physiology beyond EEG; no interaction or decisions.</x:v>
      </x:c>
      <x:c r="P10" s="26" t="str">
        <x:v>High</x:v>
      </x:c>
      <x:c r="Q10" s="26" t="str">
        <x:v>To review</x:v>
      </x:c>
      <x:c r="R10" s="26" t="str">
        <x:v>Useful for EyeLogic + EEG preprocessing</x:v>
      </x:c>
    </x:row>
    <x:row r="11">
      <x:c r="A11" s="26" t="n">
        <x:v>10</x:v>
      </x:c>
      <x:c r="B11" s="26" t="str">
        <x:v>Tier 1</x:v>
      </x:c>
      <x:c r="C11" s="26" t="str">
        <x:v>Synchronization platform</x:v>
      </x:c>
      <x:c r="D11" s="26" t="str">
        <x:v>Platform paper</x:v>
      </x:c>
      <x:c r="E11" s="26" t="str">
        <x:v>The Lab Streaming Layer for Synchronized Multimodal Recording</x:v>
      </x:c>
      <x:c r="F11" s="26" t="n">
        <x:v>2025</x:v>
      </x:c>
      <x:c r="G11" s="26" t="str">
        <x:v>Kothe et al.</x:v>
      </x:c>
      <x:c r="H11" s="26" t="str">
        <x:v>Software framework for multimodal time synchronization</x:v>
      </x:c>
      <x:c r="I11" s="26" t="str">
        <x:v>Any</x:v>
      </x:c>
      <x:c r="J11" s="26" t="str">
        <x:v>Synchronized recording framework</x:v>
      </x:c>
      <x:c r="K11" s="26" t="str">
        <x:v>Open source</x:v>
      </x:c>
      <x:c r="L11" s="26" t="str">
        <x:v>https://labstreaminglayer.org/</x:v>
      </x:c>
      <x:c r="M11" s="26" t="str">
        <x:v>https://direct.mit.edu/imag/article/doi/10.1162/IMAG.a.136/132678/The-lab-streaming-layer-for-synchronized</x:v>
      </x:c>
      <x:c r="N11" s="26" t="str">
        <x:v>Core technical citation for ARL acquisition architecture.</x:v>
      </x:c>
      <x:c r="O11" s="26" t="str">
        <x:v>Not a dataset; supports infrastructure rather than task design.</x:v>
      </x:c>
      <x:c r="P11" s="26" t="str">
        <x:v>Must read</x:v>
      </x:c>
      <x:c r="Q11" s="26" t="str">
        <x:v>To review</x:v>
      </x:c>
      <x:c r="R11" s="26" t="str">
        <x:v>Must cite in ARL platform section</x:v>
      </x:c>
    </x:row>
  </x:sheetData>
  <x:conditionalFormatting sqref="P2:P11">
    <x:cfRule type="expression" dxfId="3" priority="1">
      <x:formula>P2="Must read"</x:formula>
    </x:cfRule>
    <x:cfRule type="expression" dxfId="4" priority="2">
      <x:formula>P2="High"</x:formula>
    </x:cfRule>
  </x:conditionalFormatting>
  <x:conditionalFormatting sqref="Q2:Q11">
    <x:cfRule type="expression" dxfId="5" priority="3">
      <x:formula>Q2="To verify"</x:formula>
    </x:cfRule>
  </x:conditionalFormatting>
  <x:dataValidations count="2">
    <x:dataValidation type="list" sqref="P2:P11">
      <x:formula1>"Must read,High,Medium,Low"</x:formula1>
    </x:dataValidation>
    <x:dataValidation type="list" sqref="Q2:Q11">
      <x:formula1>"To review,Reviewed,To verify,Downloaded,Requested access,Not relevant"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3417e3ecb2420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22" hidden="0" customWidth="1"/>
    <x:col min="4" max="4" width="18" hidden="0" customWidth="1"/>
    <x:col min="5" max="5" width="42" hidden="0" customWidth="1"/>
    <x:col min="6" max="6" width="8" hidden="0" customWidth="1"/>
    <x:col min="7" max="7" width="28" hidden="0" customWidth="1"/>
    <x:col min="8" max="8" width="34" hidden="0" customWidth="1"/>
    <x:col min="9" max="9" width="18" hidden="0" customWidth="1"/>
    <x:col min="10" max="10" width="28" hidden="0" customWidth="1"/>
    <x:col min="11" max="11" width="18" hidden="0" customWidth="1"/>
    <x:col min="12" max="12" width="38" hidden="0" customWidth="1"/>
    <x:col min="13" max="13" width="38" hidden="0" customWidth="1"/>
    <x:col min="14" max="14" width="42" hidden="0" customWidth="1"/>
    <x:col min="15" max="15" width="36" hidden="0" customWidth="1"/>
    <x:col min="16" max="16" width="12" hidden="0" customWidth="1"/>
    <x:col min="17" max="17" width="14" hidden="0" customWidth="1"/>
    <x:col min="18" max="18" width="28" hidden="0" customWidth="1"/>
  </x:cols>
  <x:sheetData>
    <x:row r="1" ht="36" customHeight="1">
      <x:c r="A1" s="20" t="str">
        <x:v>ID</x:v>
      </x:c>
      <x:c r="B1" s="20" t="str">
        <x:v>Tier</x:v>
      </x:c>
      <x:c r="C1" s="20" t="str">
        <x:v>Category</x:v>
      </x:c>
      <x:c r="D1" s="20" t="str">
        <x:v>Type</x:v>
      </x:c>
      <x:c r="E1" s="20" t="str">
        <x:v>Title / Dataset</x:v>
      </x:c>
      <x:c r="F1" s="20" t="str">
        <x:v>Year</x:v>
      </x:c>
      <x:c r="G1" s="20" t="str">
        <x:v>Primary Authors / Source</x:v>
      </x:c>
      <x:c r="H1" s="20" t="str">
        <x:v>Modalities / Signals</x:v>
      </x:c>
      <x:c r="I1" s="20" t="str">
        <x:v>Group Setting</x:v>
      </x:c>
      <x:c r="J1" s="20" t="str">
        <x:v>Task / Paradigm</x:v>
      </x:c>
      <x:c r="K1" s="20" t="str">
        <x:v>Access Status</x:v>
      </x:c>
      <x:c r="L1" s="20" t="str">
        <x:v>Dataset / Access URL</x:v>
      </x:c>
      <x:c r="M1" s="20" t="str">
        <x:v>Paper / Reference URL</x:v>
      </x:c>
      <x:c r="N1" s="20" t="str">
        <x:v>Why Relevant to ARL</x:v>
      </x:c>
      <x:c r="O1" s="20" t="str">
        <x:v>ARL Gap / Difference</x:v>
      </x:c>
      <x:c r="P1" s="20" t="str">
        <x:v>Priority</x:v>
      </x:c>
      <x:c r="Q1" s="20" t="str">
        <x:v>Status</x:v>
      </x:c>
      <x:c r="R1" s="20" t="str">
        <x:v>Notes</x:v>
      </x:c>
    </x:row>
    <x:row r="2">
      <x:c r="A2" s="26" t="n">
        <x:v>1</x:v>
      </x:c>
      <x:c r="B2" s="26" t="str">
        <x:v>Tier 1</x:v>
      </x:c>
      <x:c r="C2" s="26" t="str">
        <x:v>Core multimodal datasets</x:v>
      </x:c>
      <x:c r="D2" s="26" t="str">
        <x:v>Dataset paper</x:v>
      </x:c>
      <x:c r="E2" s="26" t="str">
        <x:v>AMIGOS: A Dataset for Affect, Personality and Mood Research on Individuals and Groups</x:v>
      </x:c>
      <x:c r="F2" s="26" t="n">
        <x:v>2017</x:v>
      </x:c>
      <x:c r="G2" s="26" t="str">
        <x:v>Miranda-Correa et al.</x:v>
      </x:c>
      <x:c r="H2" s="26" t="str">
        <x:v>EEG; ECG; GSR; frontal HD video; RGB/depth video</x:v>
      </x:c>
      <x:c r="I2" s="26" t="str">
        <x:v>Individual + groups</x:v>
      </x:c>
      <x:c r="J2" s="26" t="str">
        <x:v>Affective video viewing</x:v>
      </x:c>
      <x:c r="K2" s="26" t="str">
        <x:v>Registration/public academic</x:v>
      </x:c>
      <x:c r="L2" s="26" t="str">
        <x:v>http://www.eecs.qmul.ac.uk/mmv/datasets/amigos/download.html</x:v>
      </x:c>
      <x:c r="M2" s="26" t="str">
        <x:v>https://arxiv.org/abs/1702.02510</x:v>
      </x:c>
      <x:c r="N2" s="26" t="str">
        <x:v>Closest prior dataset combining wearable physiology with group context.</x:v>
      </x:c>
      <x:c r="O2" s="26" t="str">
        <x:v>No eye tracking, EMG, individual microphones, social deduction, voting, confidence, or reasoning rounds.</x:v>
      </x:c>
      <x:c r="P2" s="26" t="str">
        <x:v>Must read</x:v>
      </x:c>
      <x:c r="Q2" s="26" t="str">
        <x:v>To review</x:v>
      </x:c>
      <x:c r="R2" s="26" t="str">
        <x:v>Download/request access</x:v>
      </x:c>
    </x:row>
    <x:row r="3">
      <x:c r="A3" s="26" t="n">
        <x:v>2</x:v>
      </x:c>
      <x:c r="B3" s="26" t="str">
        <x:v>Tier 1</x:v>
      </x:c>
      <x:c r="C3" s="26" t="str">
        <x:v>Core multimodal datasets</x:v>
      </x:c>
      <x:c r="D3" s="26" t="str">
        <x:v>Dataset paper</x:v>
      </x:c>
      <x:c r="E3" s="26" t="str">
        <x:v>MAHNOB-HCI: A Multimodal Database for Affect Recognition and Implicit Tagging</x:v>
      </x:c>
      <x:c r="F3" s="26" t="n">
        <x:v>2011</x:v>
      </x:c>
      <x:c r="G3" s="26" t="str">
        <x:v>Soleymani et al.</x:v>
      </x:c>
      <x:c r="H3" s="26" t="str">
        <x:v>EEG; ECG; GSR; eye gaze; audio; video</x:v>
      </x:c>
      <x:c r="I3" s="26" t="str">
        <x:v>Individual</x:v>
      </x:c>
      <x:c r="J3" s="26" t="str">
        <x:v>Affective stimuli / implicit tagging</x:v>
      </x:c>
      <x:c r="K3" s="26" t="str">
        <x:v>Registration</x:v>
      </x:c>
      <x:c r="L3" s="26" t="str">
        <x:v>https://mahnob-db.eu/hci-tagging/</x:v>
      </x:c>
      <x:c r="M3" s="26" t="str">
        <x:v>https://ieeexplore.ieee.org/document/5975141/</x:v>
      </x:c>
      <x:c r="N3" s="26" t="str">
        <x:v>Classic multimodal physiology + audiovisual benchmark.</x:v>
      </x:c>
      <x:c r="O3" s="26" t="str">
        <x:v>Single participant; no group interaction or decision-making.</x:v>
      </x:c>
      <x:c r="P3" s="26" t="str">
        <x:v>Must read</x:v>
      </x:c>
      <x:c r="Q3" s="26" t="str">
        <x:v>To review</x:v>
      </x:c>
      <x:c r="R3" s="26" t="str">
        <x:v>Use for acquisition and metadata comparison</x:v>
      </x:c>
    </x:row>
    <x:row r="4">
      <x:c r="A4" s="26" t="n">
        <x:v>3</x:v>
      </x:c>
      <x:c r="B4" s="26" t="str">
        <x:v>Tier 1</x:v>
      </x:c>
      <x:c r="C4" s="26" t="str">
        <x:v>Core multimodal datasets</x:v>
      </x:c>
      <x:c r="D4" s="26" t="str">
        <x:v>Dataset paper</x:v>
      </x:c>
      <x:c r="E4" s="26" t="str">
        <x:v>K-EmoCon: A Multimodal Sensor Dataset for Continuous Emotion Recognition in Naturalistic Conversations</x:v>
      </x:c>
      <x:c r="F4" s="26" t="n">
        <x:v>2020</x:v>
      </x:c>
      <x:c r="G4" s="26" t="str">
        <x:v>Park et al.</x:v>
      </x:c>
      <x:c r="H4" s="26" t="str">
        <x:v>EEG; PPG; EDA/GSR; HR; audio; video; annotations</x:v>
      </x:c>
      <x:c r="I4" s="26" t="str">
        <x:v>Dyads</x:v>
      </x:c>
      <x:c r="J4" s="26" t="str">
        <x:v>Paired debate / natural conversation</x:v>
      </x:c>
      <x:c r="K4" s="26" t="str">
        <x:v>Public</x:v>
      </x:c>
      <x:c r="L4" s="26" t="str">
        <x:v>https://zenodo.org/records/3762962</x:v>
      </x:c>
      <x:c r="M4" s="26" t="str">
        <x:v>https://www.nature.com/articles/s41597-020-00630-y</x:v>
      </x:c>
      <x:c r="N4" s="26" t="str">
        <x:v>Naturalistic interaction with EEG and peripheral physiology.</x:v>
      </x:c>
      <x:c r="O4" s="26" t="str">
        <x:v>Only dyads; emotion focus; no deception/game structure or voting.</x:v>
      </x:c>
      <x:c r="P4" s="26" t="str">
        <x:v>Must read</x:v>
      </x:c>
      <x:c r="Q4" s="26" t="str">
        <x:v>To review</x:v>
      </x:c>
      <x:c r="R4" s="26" t="str">
        <x:v>Very useful for annotation design</x:v>
      </x:c>
    </x:row>
    <x:row r="5">
      <x:c r="A5" s="26" t="n">
        <x:v>4</x:v>
      </x:c>
      <x:c r="B5" s="26" t="str">
        <x:v>Tier 1</x:v>
      </x:c>
      <x:c r="C5" s="26" t="str">
        <x:v>Core multimodal datasets</x:v>
      </x:c>
      <x:c r="D5" s="26" t="str">
        <x:v>Dataset paper</x:v>
      </x:c>
      <x:c r="E5" s="26" t="str">
        <x:v>DEAP: A Database for Emotion Analysis using Physiological Signals</x:v>
      </x:c>
      <x:c r="F5" s="26" t="n">
        <x:v>2012</x:v>
      </x:c>
      <x:c r="G5" s="26" t="str">
        <x:v>Koelstra et al.</x:v>
      </x:c>
      <x:c r="H5" s="26" t="str">
        <x:v>EEG; EMG; EOG; GSR; respiration; skin temperature; face video</x:v>
      </x:c>
      <x:c r="I5" s="26" t="str">
        <x:v>Individual</x:v>
      </x:c>
      <x:c r="J5" s="26" t="str">
        <x:v>Music video emotion elicitation</x:v>
      </x:c>
      <x:c r="K5" s="26" t="str">
        <x:v>Registration</x:v>
      </x:c>
      <x:c r="L5" s="26" t="str">
        <x:v>https://www.eecs.qmul.ac.uk/mmv/datasets/deap/download.html</x:v>
      </x:c>
      <x:c r="M5" s="26" t="str">
        <x:v>https://research.utwente.nl/en/publications/deap-a-database-for-emotion-analysis-using-physiological-signals/</x:v>
      </x:c>
      <x:c r="N5" s="26" t="str">
        <x:v>Canonical multimodal physiological benchmark.</x:v>
      </x:c>
      <x:c r="O5" s="26" t="str">
        <x:v>Individual passive viewing; no social interaction or real-time group task.</x:v>
      </x:c>
      <x:c r="P5" s="26" t="str">
        <x:v>Must read</x:v>
      </x:c>
      <x:c r="Q5" s="26" t="str">
        <x:v>To review</x:v>
      </x:c>
      <x:c r="R5" s="26" t="str">
        <x:v>Expected citation in affective computing</x:v>
      </x:c>
    </x:row>
    <x:row r="6">
      <x:c r="A6" s="26" t="n">
        <x:v>5</x:v>
      </x:c>
      <x:c r="B6" s="26" t="str">
        <x:v>Tier 1</x:v>
      </x:c>
      <x:c r="C6" s="26" t="str">
        <x:v>Core multimodal datasets</x:v>
      </x:c>
      <x:c r="D6" s="26" t="str">
        <x:v>Dataset paper</x:v>
      </x:c>
      <x:c r="E6" s="26" t="str">
        <x:v>GroupAffect-4: A Multimodal Dataset of Four-Person Collaborative Interaction</x:v>
      </x:c>
      <x:c r="F6" s="26" t="n">
        <x:v>2026</x:v>
      </x:c>
      <x:c r="G6" s="26" t="str">
        <x:v>Jamshidi Seikavandi et al.</x:v>
      </x:c>
      <x:c r="H6" s="26" t="str">
        <x:v>Wrist physiology; eye-tracking glasses; close-talk microphones; self-report; task outcomes</x:v>
      </x:c>
      <x:c r="I6" s="26" t="str">
        <x:v>Four-person groups</x:v>
      </x:c>
      <x:c r="J6" s="26" t="str">
        <x:v>Hidden-profile decision; negotiation; idea generation; public-goods game</x:v>
      </x:c>
      <x:c r="K6" s="26" t="str">
        <x:v>Public</x:v>
      </x:c>
      <x:c r="L6" s="26" t="str">
        <x:v>https://zenodo.org/records/20037847</x:v>
      </x:c>
      <x:c r="M6" s="26" t="str">
        <x:v>https://arxiv.org/abs/2605.19765</x:v>
      </x:c>
      <x:c r="N6" s="26" t="str">
        <x:v>Closest modern comparison for ARL group interaction and LSL-style synchronized multimodal collection.</x:v>
      </x:c>
      <x:c r="O6" s="26" t="str">
        <x:v>No EEG/EMG; not social deduction; four-person not five-person.</x:v>
      </x:c>
      <x:c r="P6" s="26" t="str">
        <x:v>Must read</x:v>
      </x:c>
      <x:c r="Q6" s="26" t="str">
        <x:v>To review</x:v>
      </x:c>
      <x:c r="R6" s="26" t="str">
        <x:v>Highest priority after ARL protocol</x:v>
      </x:c>
    </x:row>
    <x:row r="7">
      <x:c r="A7" s="26" t="n">
        <x:v>6</x:v>
      </x:c>
      <x:c r="B7" s="26" t="str">
        <x:v>Tier 1</x:v>
      </x:c>
      <x:c r="C7" s="26" t="str">
        <x:v>Social affect / dyadic datasets</x:v>
      </x:c>
      <x:c r="D7" s="26" t="str">
        <x:v>Dataset paper</x:v>
      </x:c>
      <x:c r="E7" s="26" t="str">
        <x:v>RECOLA: Remote Collaborative and Affective Interactions</x:v>
      </x:c>
      <x:c r="F7" s="26" t="n">
        <x:v>2013</x:v>
      </x:c>
      <x:c r="G7" s="26" t="str">
        <x:v>Ringeval et al.</x:v>
      </x:c>
      <x:c r="H7" s="26" t="str">
        <x:v>Audio; video; ECG; EDA</x:v>
      </x:c>
      <x:c r="I7" s="26" t="str">
        <x:v>Dyads</x:v>
      </x:c>
      <x:c r="J7" s="26" t="str">
        <x:v>Remote collaborative task</x:v>
      </x:c>
      <x:c r="K7" s="26" t="str">
        <x:v>Academic access</x:v>
      </x:c>
      <x:c r="L7" s="26" t="str">
        <x:v>https://recola.human-ist.ch/</x:v>
      </x:c>
      <x:c r="M7" s="26" t="str">
        <x:v>https://recola.human-ist.ch/data/emoSPACE13_RECOLA_Database.pdf</x:v>
      </x:c>
      <x:c r="N7" s="26" t="str">
        <x:v>Strong example of synchronized affective dyadic interaction.</x:v>
      </x:c>
      <x:c r="O7" s="26" t="str">
        <x:v>No EEG/eye tracking/EMG; dyadic remote collaboration.</x:v>
      </x:c>
      <x:c r="P7" s="26" t="str">
        <x:v>High</x:v>
      </x:c>
      <x:c r="Q7" s="26" t="str">
        <x:v>To review</x:v>
      </x:c>
      <x:c r="R7" s="26" t="str">
        <x:v>Useful for continuous annotation and sync</x:v>
      </x:c>
    </x:row>
    <x:row r="8">
      <x:c r="A8" s="26" t="n">
        <x:v>7</x:v>
      </x:c>
      <x:c r="B8" s="26" t="str">
        <x:v>Tier 1</x:v>
      </x:c>
      <x:c r="C8" s="26" t="str">
        <x:v>Social interaction datasets</x:v>
      </x:c>
      <x:c r="D8" s="26" t="str">
        <x:v>Dataset paper</x:v>
      </x:c>
      <x:c r="E8" s="26" t="str">
        <x:v>SEWA DB: Audio-Visual Emotion and Sentiment Research in the Wild</x:v>
      </x:c>
      <x:c r="F8" s="26" t="n">
        <x:v>2021</x:v>
      </x:c>
      <x:c r="G8" s="26" t="str">
        <x:v>Kossaifi et al.</x:v>
      </x:c>
      <x:c r="H8" s="26" t="str">
        <x:v>Audio; video; facial landmarks; action units; vocal cues</x:v>
      </x:c>
      <x:c r="I8" s="26" t="str">
        <x:v>Dyads</x:v>
      </x:c>
      <x:c r="J8" s="26" t="str">
        <x:v>Natural web-based conversations</x:v>
      </x:c>
      <x:c r="K8" s="26" t="str">
        <x:v>Research access</x:v>
      </x:c>
      <x:c r="L8" s="26" t="str">
        <x:v>http://db.sewaproject.eu/</x:v>
      </x:c>
      <x:c r="M8" s="26" t="str">
        <x:v>https://pubmed.ncbi.nlm.nih.gov/31581074/</x:v>
      </x:c>
      <x:c r="N8" s="26" t="str">
        <x:v>Useful for in-the-wild audiovisual affect and dyadic interaction.</x:v>
      </x:c>
      <x:c r="O8" s="26" t="str">
        <x:v>No physiology; not group decision making.</x:v>
      </x:c>
      <x:c r="P8" s="26" t="str">
        <x:v>High</x:v>
      </x:c>
      <x:c r="Q8" s="26" t="str">
        <x:v>To review</x:v>
      </x:c>
      <x:c r="R8" s="26" t="str">
        <x:v>Relevant to audio/video annotation</x:v>
      </x:c>
    </x:row>
    <x:row r="9">
      <x:c r="A9" s="26" t="n">
        <x:v>11</x:v>
      </x:c>
      <x:c r="B9" s="26" t="str">
        <x:v>Tier 2</x:v>
      </x:c>
      <x:c r="C9" s="26" t="str">
        <x:v>Physiological affect datasets</x:v>
      </x:c>
      <x:c r="D9" s="26" t="str">
        <x:v>Dataset paper</x:v>
      </x:c>
      <x:c r="E9" s="26" t="str">
        <x:v>ASCERTAIN: A Database for Implicit Personality and Affect Recognition</x:v>
      </x:c>
      <x:c r="F9" s="26" t="n">
        <x:v>2016</x:v>
      </x:c>
      <x:c r="G9" s="26" t="str">
        <x:v>Subramanian et al.</x:v>
      </x:c>
      <x:c r="H9" s="26" t="str">
        <x:v>EEG; ECG; GSR; facial video; personality/self-report</x:v>
      </x:c>
      <x:c r="I9" s="26" t="str">
        <x:v>Individual</x:v>
      </x:c>
      <x:c r="J9" s="26" t="str">
        <x:v>Affective video viewing</x:v>
      </x:c>
      <x:c r="K9" s="26" t="str">
        <x:v>Research access</x:v>
      </x:c>
      <x:c r="L9" s="26" t="str">
        <x:v>http://ascertain-dataset.github.io/</x:v>
      </x:c>
      <x:c r="M9" s="26" t="str">
        <x:v>https://ieeexplore.ieee.org/document/7740927/</x:v>
      </x:c>
      <x:c r="N9" s="26" t="str">
        <x:v>Adds personality and affect to multimodal physiology.</x:v>
      </x:c>
      <x:c r="O9" s="26" t="str">
        <x:v>No group interaction; no decision-making task.</x:v>
      </x:c>
      <x:c r="P9" s="26" t="str">
        <x:v>Medium</x:v>
      </x:c>
      <x:c r="Q9" s="26" t="str">
        <x:v>To review</x:v>
      </x:c>
      <x:c r="R9" s="26" t="str">
        <x:v>May need access link verification</x:v>
      </x:c>
    </x:row>
    <x:row r="10">
      <x:c r="A10" s="26" t="n">
        <x:v>12</x:v>
      </x:c>
      <x:c r="B10" s="26" t="str">
        <x:v>Tier 2</x:v>
      </x:c>
      <x:c r="C10" s="26" t="str">
        <x:v>Physiological affect datasets</x:v>
      </x:c>
      <x:c r="D10" s="26" t="str">
        <x:v>Dataset paper</x:v>
      </x:c>
      <x:c r="E10" s="26" t="str">
        <x:v>DREAMER: A Database for Emotion Recognition Through EEG and ECG Signals</x:v>
      </x:c>
      <x:c r="F10" s="26" t="n">
        <x:v>2018</x:v>
      </x:c>
      <x:c r="G10" s="26" t="str">
        <x:v>Katsigiannis &amp; Ramzan</x:v>
      </x:c>
      <x:c r="H10" s="26" t="str">
        <x:v>EEG; ECG</x:v>
      </x:c>
      <x:c r="I10" s="26" t="str">
        <x:v>Individual</x:v>
      </x:c>
      <x:c r="J10" s="26" t="str">
        <x:v>Affective audio-visual stimuli</x:v>
      </x:c>
      <x:c r="K10" s="26" t="str">
        <x:v>Public/research</x:v>
      </x:c>
      <x:c r="L10" s="26" t="str">
        <x:v>https://zenodo.org/record/546113</x:v>
      </x:c>
      <x:c r="M10" s="26" t="str">
        <x:v>https://ieeexplore.ieee.org/document/7880584/</x:v>
      </x:c>
      <x:c r="N10" s="26" t="str">
        <x:v>Useful compact EEG+ECG benchmark.</x:v>
      </x:c>
      <x:c r="O10" s="26" t="str">
        <x:v>No GSR/EMG/eye/audio interaction.</x:v>
      </x:c>
      <x:c r="P10" s="26" t="str">
        <x:v>Medium</x:v>
      </x:c>
      <x:c r="Q10" s="26" t="str">
        <x:v>To review</x:v>
      </x:c>
      <x:c r="R10" s="26" t="str">
        <x:v>Good baseline physiology dataset</x:v>
      </x:c>
    </x:row>
    <x:row r="11">
      <x:c r="A11" s="26" t="n">
        <x:v>13</x:v>
      </x:c>
      <x:c r="B11" s="26" t="str">
        <x:v>Tier 2</x:v>
      </x:c>
      <x:c r="C11" s="26" t="str">
        <x:v>Physiological affect datasets</x:v>
      </x:c>
      <x:c r="D11" s="26" t="str">
        <x:v>Dataset paper</x:v>
      </x:c>
      <x:c r="E11" s="26" t="str">
        <x:v>CASE: Continuously Annotated Signals of Emotion Dataset</x:v>
      </x:c>
      <x:c r="F11" s="26" t="n">
        <x:v>2019</x:v>
      </x:c>
      <x:c r="G11" s="26" t="str">
        <x:v>Sharma et al.</x:v>
      </x:c>
      <x:c r="H11" s="26" t="str">
        <x:v>ECG; BVP; EMG; GSR/EDA; respiration; skin temperature</x:v>
      </x:c>
      <x:c r="I11" s="26" t="str">
        <x:v>Individual</x:v>
      </x:c>
      <x:c r="J11" s="26" t="str">
        <x:v>Video emotion elicitation</x:v>
      </x:c>
      <x:c r="K11" s="26" t="str">
        <x:v>Public</x:v>
      </x:c>
      <x:c r="L11" s="26" t="str">
        <x:v>https://springernature.figshare.com/collections/CASE_Dataset/4260668</x:v>
      </x:c>
      <x:c r="M11" s="26" t="str">
        <x:v>https://www.nature.com/articles/s41597-019-0209-0</x:v>
      </x:c>
      <x:c r="N11" s="26" t="str">
        <x:v>High-quality synchronized physiological recordings with continuous annotations.</x:v>
      </x:c>
      <x:c r="O11" s="26" t="str">
        <x:v>No EEG/eye tracking/group interaction.</x:v>
      </x:c>
      <x:c r="P11" s="26" t="str">
        <x:v>Medium</x:v>
      </x:c>
      <x:c r="Q11" s="26" t="str">
        <x:v>To review</x:v>
      </x:c>
      <x:c r="R11" s="26" t="str">
        <x:v>Use for annotation and physiology QC</x:v>
      </x:c>
    </x:row>
    <x:row r="12">
      <x:c r="A12" s="26" t="n">
        <x:v>14</x:v>
      </x:c>
      <x:c r="B12" s="26" t="str">
        <x:v>Tier 2</x:v>
      </x:c>
      <x:c r="C12" s="26" t="str">
        <x:v>Physiological affect datasets</x:v>
      </x:c>
      <x:c r="D12" s="26" t="str">
        <x:v>Dataset paper</x:v>
      </x:c>
      <x:c r="E12" s="26" t="str">
        <x:v>WESAD: Wearable Stress and Affect Detection</x:v>
      </x:c>
      <x:c r="F12" s="26" t="n">
        <x:v>2018</x:v>
      </x:c>
      <x:c r="G12" s="26" t="str">
        <x:v>Schmidt et al.</x:v>
      </x:c>
      <x:c r="H12" s="26" t="str">
        <x:v>ECG; EDA; EMG; respiration; temperature; acceleration</x:v>
      </x:c>
      <x:c r="I12" s="26" t="str">
        <x:v>Individual</x:v>
      </x:c>
      <x:c r="J12" s="26" t="str">
        <x:v>Stress/affect protocol</x:v>
      </x:c>
      <x:c r="K12" s="26" t="str">
        <x:v>Public/research</x:v>
      </x:c>
      <x:c r="L12" s="26" t="str">
        <x:v>https://archive.ics.uci.edu/dataset/465/wesad+wearable+stress+and+affect+detection</x:v>
      </x:c>
      <x:c r="M12" s="26" t="str">
        <x:v>https://dl.acm.org/doi/10.1145/3242969.3242985</x:v>
      </x:c>
      <x:c r="N12" s="26" t="str">
        <x:v>Important wearable physiological dataset and benchmark.</x:v>
      </x:c>
      <x:c r="O12" s="26" t="str">
        <x:v>No EEG/eye/audio/video; no social interaction.</x:v>
      </x:c>
      <x:c r="P12" s="26" t="str">
        <x:v>Medium</x:v>
      </x:c>
      <x:c r="Q12" s="26" t="str">
        <x:v>To review</x:v>
      </x:c>
      <x:c r="R12" s="26" t="str">
        <x:v>Useful for Shimmer-style feature extraction</x:v>
      </x:c>
    </x:row>
    <x:row r="13">
      <x:c r="A13" s="26" t="n">
        <x:v>15</x:v>
      </x:c>
      <x:c r="B13" s="26" t="str">
        <x:v>Tier 2</x:v>
      </x:c>
      <x:c r="C13" s="26" t="str">
        <x:v>Physiological affect datasets</x:v>
      </x:c>
      <x:c r="D13" s="26" t="str">
        <x:v>Dataset paper</x:v>
      </x:c>
      <x:c r="E13" s="26" t="str">
        <x:v>MAUS: A Multimodal Affective User State Dataset</x:v>
      </x:c>
      <x:c r="F13" s="26" t="n">
        <x:v>2019</x:v>
      </x:c>
      <x:c r="G13" s="26" t="str">
        <x:v>Kächele et al.</x:v>
      </x:c>
      <x:c r="H13" s="26" t="str">
        <x:v>Physiology; facial behavior; annotations</x:v>
      </x:c>
      <x:c r="I13" s="26" t="str">
        <x:v>Individual</x:v>
      </x:c>
      <x:c r="J13" s="26" t="str">
        <x:v>Affective user state tasks</x:v>
      </x:c>
      <x:c r="K13" s="26" t="str">
        <x:v>Research access</x:v>
      </x:c>
      <x:c r="L13" s="26" t="str"/>
      <x:c r="M13" s="26" t="str">
        <x:v>https://dl.acm.org/doi/10.1145/3340555.3353746</x:v>
      </x:c>
      <x:c r="N13" s="26" t="str">
        <x:v>Relevant for multimodal user state inference.</x:v>
      </x:c>
      <x:c r="O13" s="26" t="str">
        <x:v>Less direct to group decision; access/details need review.</x:v>
      </x:c>
      <x:c r="P13" s="26" t="str">
        <x:v>Medium</x:v>
      </x:c>
      <x:c r="Q13" s="26" t="str">
        <x:v>To verify</x:v>
      </x:c>
      <x:c r="R13" s="26" t="str">
        <x:v>Potential related work</x:v>
      </x:c>
    </x:row>
    <x:row r="14">
      <x:c r="A14" s="26" t="n">
        <x:v>16</x:v>
      </x:c>
      <x:c r="B14" s="26" t="str">
        <x:v>Tier 2</x:v>
      </x:c>
      <x:c r="C14" s="26" t="str">
        <x:v>Physiological affect datasets</x:v>
      </x:c>
      <x:c r="D14" s="26" t="str">
        <x:v>Dataset paper</x:v>
      </x:c>
      <x:c r="E14" s="26" t="str">
        <x:v>Affectiva-MIT Facial Expression / emotion datasets</x:v>
      </x:c>
      <x:c r="F14" s="26" t="n">
        <x:v>2010</x:v>
      </x:c>
      <x:c r="G14" s="26" t="str">
        <x:v>McDuff et al.</x:v>
      </x:c>
      <x:c r="H14" s="26" t="str">
        <x:v>Video/facial expression; sometimes physiology in related work</x:v>
      </x:c>
      <x:c r="I14" s="26" t="str">
        <x:v>Individual</x:v>
      </x:c>
      <x:c r="J14" s="26" t="str">
        <x:v>Emotion elicitation</x:v>
      </x:c>
      <x:c r="K14" s="26" t="str">
        <x:v>Restricted/commercial/research</x:v>
      </x:c>
      <x:c r="L14" s="26" t="str"/>
      <x:c r="M14" s="26" t="str">
        <x:v>https://ieeexplore.ieee.org/document/7744024/</x:v>
      </x:c>
      <x:c r="N14" s="26" t="str">
        <x:v>Useful for affect and facial-video benchmark context.</x:v>
      </x:c>
      <x:c r="O14" s="26" t="str">
        <x:v>Not physiological group decision data.</x:v>
      </x:c>
      <x:c r="P14" s="26" t="str">
        <x:v>Low</x:v>
      </x:c>
      <x:c r="Q14" s="26" t="str">
        <x:v>To verify</x:v>
      </x:c>
      <x:c r="R14" s="26" t="str">
        <x:v>Optional citation only</x:v>
      </x:c>
    </x:row>
    <x:row r="15">
      <x:c r="A15" s="26" t="n">
        <x:v>17</x:v>
      </x:c>
      <x:c r="B15" s="26" t="str">
        <x:v>Tier 2</x:v>
      </x:c>
      <x:c r="C15" s="26" t="str">
        <x:v>EEG emotion datasets</x:v>
      </x:c>
      <x:c r="D15" s="26" t="str">
        <x:v>Dataset paper</x:v>
      </x:c>
      <x:c r="E15" s="26" t="str">
        <x:v>SEED: A Dataset for Emotion Recognition using EEG</x:v>
      </x:c>
      <x:c r="F15" s="26" t="n">
        <x:v>2015</x:v>
      </x:c>
      <x:c r="G15" s="26" t="str">
        <x:v>Zheng &amp; Lu</x:v>
      </x:c>
      <x:c r="H15" s="26" t="str">
        <x:v>EEG</x:v>
      </x:c>
      <x:c r="I15" s="26" t="str">
        <x:v>Individual</x:v>
      </x:c>
      <x:c r="J15" s="26" t="str">
        <x:v>Emotion film clips</x:v>
      </x:c>
      <x:c r="K15" s="26" t="str">
        <x:v>Research access</x:v>
      </x:c>
      <x:c r="L15" s="26" t="str">
        <x:v>https://bcmi.sjtu.edu.cn/home/seed/</x:v>
      </x:c>
      <x:c r="M15" s="26" t="str">
        <x:v>https://ieeexplore.ieee.org/document/7104132/</x:v>
      </x:c>
      <x:c r="N15" s="26" t="str">
        <x:v>Common EEG emotion benchmark.</x:v>
      </x:c>
      <x:c r="O15" s="26" t="str">
        <x:v>No multimodal group interaction.</x:v>
      </x:c>
      <x:c r="P15" s="26" t="str">
        <x:v>Medium</x:v>
      </x:c>
      <x:c r="Q15" s="26" t="str">
        <x:v>To review</x:v>
      </x:c>
      <x:c r="R15" s="26" t="str">
        <x:v>Useful for EEG feature benchmarks</x:v>
      </x:c>
    </x:row>
    <x:row r="16">
      <x:c r="A16" s="26" t="n">
        <x:v>18</x:v>
      </x:c>
      <x:c r="B16" s="26" t="str">
        <x:v>Tier 2</x:v>
      </x:c>
      <x:c r="C16" s="26" t="str">
        <x:v>EEG emotion datasets</x:v>
      </x:c>
      <x:c r="D16" s="26" t="str">
        <x:v>Dataset paper</x:v>
      </x:c>
      <x:c r="E16" s="26" t="str">
        <x:v>SEED-IV: Multimodal Emotion Dataset with Four Emotion Categories</x:v>
      </x:c>
      <x:c r="F16" s="26" t="n">
        <x:v>2018</x:v>
      </x:c>
      <x:c r="G16" s="26" t="str">
        <x:v>Zheng et al.</x:v>
      </x:c>
      <x:c r="H16" s="26" t="str">
        <x:v>EEG; eye movement</x:v>
      </x:c>
      <x:c r="I16" s="26" t="str">
        <x:v>Individual</x:v>
      </x:c>
      <x:c r="J16" s="26" t="str">
        <x:v>Emotion film clips</x:v>
      </x:c>
      <x:c r="K16" s="26" t="str">
        <x:v>Research access</x:v>
      </x:c>
      <x:c r="L16" s="26" t="str">
        <x:v>https://bcmi.sjtu.edu.cn/home/seed/</x:v>
      </x:c>
      <x:c r="M16" s="26" t="str">
        <x:v>https://ieeexplore.ieee.org/document/8373816/</x:v>
      </x:c>
      <x:c r="N16" s="26" t="str">
        <x:v>EEG + eye movement emotion benchmark.</x:v>
      </x:c>
      <x:c r="O16" s="26" t="str">
        <x:v>No social interaction or peripheral physiology.</x:v>
      </x:c>
      <x:c r="P16" s="26" t="str">
        <x:v>Medium</x:v>
      </x:c>
      <x:c r="Q16" s="26" t="str">
        <x:v>To review</x:v>
      </x:c>
      <x:c r="R16" s="26" t="str">
        <x:v>Useful for EEG-eye comparison</x:v>
      </x:c>
    </x:row>
    <x:row r="17">
      <x:c r="A17" s="26" t="n">
        <x:v>19</x:v>
      </x:c>
      <x:c r="B17" s="26" t="str">
        <x:v>Tier 2</x:v>
      </x:c>
      <x:c r="C17" s="26" t="str">
        <x:v>EEG + eye tracking datasets</x:v>
      </x:c>
      <x:c r="D17" s="26" t="str">
        <x:v>Dataset paper</x:v>
      </x:c>
      <x:c r="E17" s="26" t="str">
        <x:v>Consumer-grade EEG-based Eye Tracking Dataset</x:v>
      </x:c>
      <x:c r="F17" s="26" t="n">
        <x:v>2025</x:v>
      </x:c>
      <x:c r="G17" s="26" t="str">
        <x:v>Authors TBD</x:v>
      </x:c>
      <x:c r="H17" s="26" t="str">
        <x:v>Consumer EEG; webcam eye tracking</x:v>
      </x:c>
      <x:c r="I17" s="26" t="str">
        <x:v>Individual</x:v>
      </x:c>
      <x:c r="J17" s="26" t="str">
        <x:v>Eye movement paradigms</x:v>
      </x:c>
      <x:c r="K17" s="26" t="str">
        <x:v>Likely public</x:v>
      </x:c>
      <x:c r="L17" s="26" t="str">
        <x:v>https://arxiv.org/html/2503.14322v1</x:v>
      </x:c>
      <x:c r="M17" s="26" t="str">
        <x:v>https://arxiv.org/html/2503.14322v1</x:v>
      </x:c>
      <x:c r="N17" s="26" t="str">
        <x:v>Relevant to low-cost EEG + webcam/eye tracking synchronization.</x:v>
      </x:c>
      <x:c r="O17" s="26" t="str">
        <x:v>No physiology/group task; details need verification.</x:v>
      </x:c>
      <x:c r="P17" s="26" t="str">
        <x:v>Medium</x:v>
      </x:c>
      <x:c r="Q17" s="26" t="str">
        <x:v>To verify</x:v>
      </x:c>
      <x:c r="R17" s="26" t="str">
        <x:v>Useful if EyeLogic constraints become important</x:v>
      </x:c>
    </x:row>
    <x:row r="18">
      <x:c r="A18" s="26" t="n">
        <x:v>20</x:v>
      </x:c>
      <x:c r="B18" s="26" t="str">
        <x:v>Tier 2</x:v>
      </x:c>
      <x:c r="C18" s="26" t="str">
        <x:v>EEG + eye tracking datasets</x:v>
      </x:c>
      <x:c r="D18" s="26" t="str">
        <x:v>Dataset paper</x:v>
      </x:c>
      <x:c r="E18" s="26" t="str">
        <x:v>Ocular Activity Dataset: EEG, Eye-tracking, and High-speed Video</x:v>
      </x:c>
      <x:c r="F18" s="26" t="n">
        <x:v>2025</x:v>
      </x:c>
      <x:c r="G18" s="26" t="str">
        <x:v>Guttmann-Flury et al.</x:v>
      </x:c>
      <x:c r="H18" s="26" t="str">
        <x:v>EEG; eye tracking; high-speed video</x:v>
      </x:c>
      <x:c r="I18" s="26" t="str">
        <x:v>Individual</x:v>
      </x:c>
      <x:c r="J18" s="26" t="str">
        <x:v>Ocular behavior / mental states</x:v>
      </x:c>
      <x:c r="K18" s="26" t="str">
        <x:v>Public</x:v>
      </x:c>
      <x:c r="L18" s="26" t="str">
        <x:v>https://pmc.ncbi.nlm.nih.gov/articles/PMC11978869/</x:v>
      </x:c>
      <x:c r="M18" s="26" t="str">
        <x:v>https://pmc.ncbi.nlm.nih.gov/articles/PMC11978869/</x:v>
      </x:c>
      <x:c r="N18" s="26" t="str">
        <x:v>Good multimodal eye/EEG/video reference.</x:v>
      </x:c>
      <x:c r="O18" s="26" t="str">
        <x:v>No group decision or physiology.</x:v>
      </x:c>
      <x:c r="P18" s="26" t="str">
        <x:v>Medium</x:v>
      </x:c>
      <x:c r="Q18" s="26" t="str">
        <x:v>To review</x:v>
      </x:c>
      <x:c r="R18" s="26" t="str">
        <x:v>Useful for ocular artifact handling</x:v>
      </x:c>
    </x:row>
    <x:row r="19">
      <x:c r="A19" s="26" t="n">
        <x:v>21</x:v>
      </x:c>
      <x:c r="B19" s="26" t="str">
        <x:v>Tier 2</x:v>
      </x:c>
      <x:c r="C19" s="26" t="str">
        <x:v>Social interaction datasets</x:v>
      </x:c>
      <x:c r="D19" s="26" t="str">
        <x:v>Dataset paper</x:v>
      </x:c>
      <x:c r="E19" s="26" t="str">
        <x:v>MELD: Multimodal EmotionLines Dataset</x:v>
      </x:c>
      <x:c r="F19" s="26" t="n">
        <x:v>2019</x:v>
      </x:c>
      <x:c r="G19" s="26" t="str">
        <x:v>Poria et al.</x:v>
      </x:c>
      <x:c r="H19" s="26" t="str">
        <x:v>Text; audio; video</x:v>
      </x:c>
      <x:c r="I19" s="26" t="str">
        <x:v>Multi-party</x:v>
      </x:c>
      <x:c r="J19" s="26" t="str">
        <x:v>TV-series multi-party conversations</x:v>
      </x:c>
      <x:c r="K19" s="26" t="str">
        <x:v>Public</x:v>
      </x:c>
      <x:c r="L19" s="26" t="str">
        <x:v>https://affective-meld.github.io/</x:v>
      </x:c>
      <x:c r="M19" s="26" t="str">
        <x:v>https://aclanthology.org/P19-1050/</x:v>
      </x:c>
      <x:c r="N19" s="26" t="str">
        <x:v>Important multi-party conversation benchmark.</x:v>
      </x:c>
      <x:c r="O19" s="26" t="str">
        <x:v>No physiology; acted/scripted media source.</x:v>
      </x:c>
      <x:c r="P19" s="26" t="str">
        <x:v>Medium</x:v>
      </x:c>
      <x:c r="Q19" s="26" t="str">
        <x:v>To review</x:v>
      </x:c>
      <x:c r="R19" s="26" t="str">
        <x:v>Useful for dialogue-level modeling</x:v>
      </x:c>
    </x:row>
    <x:row r="20">
      <x:c r="A20" s="26" t="n">
        <x:v>22</x:v>
      </x:c>
      <x:c r="B20" s="26" t="str">
        <x:v>Tier 2</x:v>
      </x:c>
      <x:c r="C20" s="26" t="str">
        <x:v>Social interaction datasets</x:v>
      </x:c>
      <x:c r="D20" s="26" t="str">
        <x:v>Dataset paper</x:v>
      </x:c>
      <x:c r="E20" s="26" t="str">
        <x:v>IEMOCAP: Interactive Emotional Dyadic Motion Capture Database</x:v>
      </x:c>
      <x:c r="F20" s="26" t="n">
        <x:v>2008</x:v>
      </x:c>
      <x:c r="G20" s="26" t="str">
        <x:v>Busso et al.</x:v>
      </x:c>
      <x:c r="H20" s="26" t="str">
        <x:v>Audio; video; motion capture; text annotations</x:v>
      </x:c>
      <x:c r="I20" s="26" t="str">
        <x:v>Dyads</x:v>
      </x:c>
      <x:c r="J20" s="26" t="str">
        <x:v>Scripted and spontaneous dialogues</x:v>
      </x:c>
      <x:c r="K20" s="26" t="str">
        <x:v>Research access</x:v>
      </x:c>
      <x:c r="L20" s="26" t="str">
        <x:v>https://sail.usc.edu/iemocap/</x:v>
      </x:c>
      <x:c r="M20" s="26" t="str">
        <x:v>https://www.carlosbusso.com/publications/Busso_2008_5.pdf</x:v>
      </x:c>
      <x:c r="N20" s="26" t="str">
        <x:v>Classic interactive dyadic multimodal emotion dataset.</x:v>
      </x:c>
      <x:c r="O20" s="26" t="str">
        <x:v>No physiology; dyadic actors.</x:v>
      </x:c>
      <x:c r="P20" s="26" t="str">
        <x:v>Medium</x:v>
      </x:c>
      <x:c r="Q20" s="26" t="str">
        <x:v>To review</x:v>
      </x:c>
      <x:c r="R20" s="26" t="str">
        <x:v>Useful for audio/video annotation</x:v>
      </x:c>
    </x:row>
    <x:row r="21">
      <x:c r="A21" s="26" t="n">
        <x:v>26</x:v>
      </x:c>
      <x:c r="B21" s="26" t="str">
        <x:v>Tier 2</x:v>
      </x:c>
      <x:c r="C21" s="26" t="str">
        <x:v>Social interaction datasets</x:v>
      </x:c>
      <x:c r="D21" s="26" t="str">
        <x:v>Dataset paper</x:v>
      </x:c>
      <x:c r="E21" s="26" t="str">
        <x:v>MatchNMingle: Multi-sensor Social Mingling Dataset</x:v>
      </x:c>
      <x:c r="F21" s="26" t="n">
        <x:v>2018</x:v>
      </x:c>
      <x:c r="G21" s="26" t="str">
        <x:v>Cabrera-Quiros et al.</x:v>
      </x:c>
      <x:c r="H21" s="26" t="str">
        <x:v>Wearable acceleration; proximity; audio; video annotations</x:v>
      </x:c>
      <x:c r="I21" s="26" t="str">
        <x:v>Groups/social event</x:v>
      </x:c>
      <x:c r="J21" s="26" t="str">
        <x:v>Free mingling interaction</x:v>
      </x:c>
      <x:c r="K21" s="26" t="str">
        <x:v>Research access</x:v>
      </x:c>
      <x:c r="L21" s="26" t="str"/>
      <x:c r="M21" s="26" t="str">
        <x:v>https://dl.acm.org/doi/10.1145/3267305.3274114</x:v>
      </x:c>
      <x:c r="N21" s="26" t="str">
        <x:v>Useful for group social dynamics and wearable sensing.</x:v>
      </x:c>
      <x:c r="O21" s="26" t="str">
        <x:v>No EEG/ECG/GSR; not decision task.</x:v>
      </x:c>
      <x:c r="P21" s="26" t="str">
        <x:v>Medium</x:v>
      </x:c>
      <x:c r="Q21" s="26" t="str">
        <x:v>To verify</x:v>
      </x:c>
      <x:c r="R21" s="26" t="str">
        <x:v>Good for social network features</x:v>
      </x:c>
    </x:row>
    <x:row r="22">
      <x:c r="A22" s="26" t="n">
        <x:v>27</x:v>
      </x:c>
      <x:c r="B22" s="26" t="str">
        <x:v>Tier 2</x:v>
      </x:c>
      <x:c r="C22" s="26" t="str">
        <x:v>Social interaction datasets</x:v>
      </x:c>
      <x:c r="D22" s="26" t="str">
        <x:v>Dataset paper</x:v>
      </x:c>
      <x:c r="E22" s="26" t="str">
        <x:v>NOXI Database: Multimodal Natural Human-Computer Interaction</x:v>
      </x:c>
      <x:c r="F22" s="26" t="n">
        <x:v>2017</x:v>
      </x:c>
      <x:c r="G22" s="26" t="str">
        <x:v>Cafaro et al.</x:v>
      </x:c>
      <x:c r="H22" s="26" t="str">
        <x:v>Audio; video; motion/behavior</x:v>
      </x:c>
      <x:c r="I22" s="26" t="str">
        <x:v>Dyads/HCI</x:v>
      </x:c>
      <x:c r="J22" s="26" t="str">
        <x:v>Expert-novice interaction</x:v>
      </x:c>
      <x:c r="K22" s="26" t="str">
        <x:v>Research access</x:v>
      </x:c>
      <x:c r="L22" s="26" t="str">
        <x:v>https://noxi.aria-agent.eu/</x:v>
      </x:c>
      <x:c r="M22" s="26" t="str">
        <x:v>https://dl.acm.org/doi/10.1145/3136755.3136759</x:v>
      </x:c>
      <x:c r="N22" s="26" t="str">
        <x:v>Useful for naturalistic interaction and nonverbal cues.</x:v>
      </x:c>
      <x:c r="O22" s="26" t="str">
        <x:v>No physiology; not group decision.</x:v>
      </x:c>
      <x:c r="P22" s="26" t="str">
        <x:v>Low</x:v>
      </x:c>
      <x:c r="Q22" s="26" t="str">
        <x:v>To verify</x:v>
      </x:c>
      <x:c r="R22" s="26" t="str">
        <x:v>Peripheral relevance</x:v>
      </x:c>
    </x:row>
    <x:row r="23">
      <x:c r="A23" s="26" t="n">
        <x:v>28</x:v>
      </x:c>
      <x:c r="B23" s="26" t="str">
        <x:v>Tier 2</x:v>
      </x:c>
      <x:c r="C23" s="26" t="str">
        <x:v>Social interaction datasets</x:v>
      </x:c>
      <x:c r="D23" s="26" t="str">
        <x:v>Dataset paper</x:v>
      </x:c>
      <x:c r="E23" s="26" t="str">
        <x:v>Aff-Wild: In-the-Wild Affect Recognition Database</x:v>
      </x:c>
      <x:c r="F23" s="26" t="n">
        <x:v>2019</x:v>
      </x:c>
      <x:c r="G23" s="26" t="str">
        <x:v>Kollias et al.</x:v>
      </x:c>
      <x:c r="H23" s="26" t="str">
        <x:v>Video; audio in related variants; valence/arousal annotations</x:v>
      </x:c>
      <x:c r="I23" s="26" t="str">
        <x:v>Individual/video subjects</x:v>
      </x:c>
      <x:c r="J23" s="26" t="str">
        <x:v>In-the-wild affect videos</x:v>
      </x:c>
      <x:c r="K23" s="26" t="str">
        <x:v>Research access</x:v>
      </x:c>
      <x:c r="L23" s="26" t="str">
        <x:v>https://ibug.doc.ic.ac.uk/resources/aff-wild2/</x:v>
      </x:c>
      <x:c r="M23" s="26" t="str">
        <x:v>https://link.springer.com/article/10.1007/s11263-019-01158-4</x:v>
      </x:c>
      <x:c r="N23" s="26" t="str">
        <x:v>Useful for video affect benchmark context.</x:v>
      </x:c>
      <x:c r="O23" s="26" t="str">
        <x:v>No physiology/group task.</x:v>
      </x:c>
      <x:c r="P23" s="26" t="str">
        <x:v>Low</x:v>
      </x:c>
      <x:c r="Q23" s="26" t="str">
        <x:v>To review</x:v>
      </x:c>
      <x:c r="R23" s="26" t="str">
        <x:v>Not core but recognizable</x:v>
      </x:c>
    </x:row>
    <x:row r="24">
      <x:c r="A24" s="26" t="n">
        <x:v>29</x:v>
      </x:c>
      <x:c r="B24" s="26" t="str">
        <x:v>Tier 2</x:v>
      </x:c>
      <x:c r="C24" s="26" t="str">
        <x:v>Social interaction datasets</x:v>
      </x:c>
      <x:c r="D24" s="26" t="str">
        <x:v>Dataset paper</x:v>
      </x:c>
      <x:c r="E24" s="26" t="str">
        <x:v>AVEC Challenges / Audio-Visual Emotion Challenge Corpora</x:v>
      </x:c>
      <x:c r="F24" s="26" t="n">
        <x:v>2016</x:v>
      </x:c>
      <x:c r="G24" s="26" t="str">
        <x:v>Valstar/Ringeval et al.</x:v>
      </x:c>
      <x:c r="H24" s="26" t="str">
        <x:v>Audio; video; physiology depending on year</x:v>
      </x:c>
      <x:c r="I24" s="26" t="str">
        <x:v>Dyads/individual</x:v>
      </x:c>
      <x:c r="J24" s="26" t="str">
        <x:v>Affect/depression/emotion challenge tasks</x:v>
      </x:c>
      <x:c r="K24" s="26" t="str">
        <x:v>Research access</x:v>
      </x:c>
      <x:c r="L24" s="26" t="str">
        <x:v>https://avec-challenge.org/</x:v>
      </x:c>
      <x:c r="M24" s="26" t="str">
        <x:v>https://d-nb.info/1248484878/34</x:v>
      </x:c>
      <x:c r="N24" s="26" t="str">
        <x:v>Useful benchmark family for multimodal affect.</x:v>
      </x:c>
      <x:c r="O24" s="26" t="str">
        <x:v>Not tailored to group decision; varies by year.</x:v>
      </x:c>
      <x:c r="P24" s="26" t="str">
        <x:v>Medium</x:v>
      </x:c>
      <x:c r="Q24" s="26" t="str">
        <x:v>To review</x:v>
      </x:c>
      <x:c r="R24" s="26" t="str">
        <x:v>Cite if benchmarking methods</x:v>
      </x:c>
    </x:row>
  </x:sheetData>
  <x:conditionalFormatting sqref="P2:P24">
    <x:cfRule type="expression" dxfId="6" priority="1">
      <x:formula>P2="Must read"</x:formula>
    </x:cfRule>
    <x:cfRule type="expression" dxfId="7" priority="2">
      <x:formula>P2="High"</x:formula>
    </x:cfRule>
  </x:conditionalFormatting>
  <x:conditionalFormatting sqref="Q2:Q24">
    <x:cfRule type="expression" dxfId="8" priority="3">
      <x:formula>Q2="To verify"</x:formula>
    </x:cfRule>
  </x:conditionalFormatting>
  <x:dataValidations count="2">
    <x:dataValidation type="list" sqref="P2:P24">
      <x:formula1>"Must read,High,Medium,Low"</x:formula1>
    </x:dataValidation>
    <x:dataValidation type="list" sqref="Q2:Q24">
      <x:formula1>"To review,Reviewed,To verify,Downloaded,Requested access,Not relevant"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b40f611a0d442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22" hidden="0" customWidth="1"/>
    <x:col min="4" max="4" width="18" hidden="0" customWidth="1"/>
    <x:col min="5" max="5" width="42" hidden="0" customWidth="1"/>
    <x:col min="6" max="6" width="8" hidden="0" customWidth="1"/>
    <x:col min="7" max="7" width="28" hidden="0" customWidth="1"/>
    <x:col min="8" max="8" width="34" hidden="0" customWidth="1"/>
    <x:col min="9" max="9" width="18" hidden="0" customWidth="1"/>
    <x:col min="10" max="10" width="28" hidden="0" customWidth="1"/>
    <x:col min="11" max="11" width="18" hidden="0" customWidth="1"/>
    <x:col min="12" max="12" width="38" hidden="0" customWidth="1"/>
    <x:col min="13" max="13" width="38" hidden="0" customWidth="1"/>
    <x:col min="14" max="14" width="42" hidden="0" customWidth="1"/>
    <x:col min="15" max="15" width="36" hidden="0" customWidth="1"/>
    <x:col min="16" max="16" width="12" hidden="0" customWidth="1"/>
    <x:col min="17" max="17" width="14" hidden="0" customWidth="1"/>
    <x:col min="18" max="18" width="28" hidden="0" customWidth="1"/>
  </x:cols>
  <x:sheetData>
    <x:row r="1" ht="36" customHeight="1">
      <x:c r="A1" s="20" t="str">
        <x:v>ID</x:v>
      </x:c>
      <x:c r="B1" s="20" t="str">
        <x:v>Tier</x:v>
      </x:c>
      <x:c r="C1" s="20" t="str">
        <x:v>Category</x:v>
      </x:c>
      <x:c r="D1" s="20" t="str">
        <x:v>Type</x:v>
      </x:c>
      <x:c r="E1" s="20" t="str">
        <x:v>Title / Dataset</x:v>
      </x:c>
      <x:c r="F1" s="20" t="str">
        <x:v>Year</x:v>
      </x:c>
      <x:c r="G1" s="20" t="str">
        <x:v>Primary Authors / Source</x:v>
      </x:c>
      <x:c r="H1" s="20" t="str">
        <x:v>Modalities / Signals</x:v>
      </x:c>
      <x:c r="I1" s="20" t="str">
        <x:v>Group Setting</x:v>
      </x:c>
      <x:c r="J1" s="20" t="str">
        <x:v>Task / Paradigm</x:v>
      </x:c>
      <x:c r="K1" s="20" t="str">
        <x:v>Access Status</x:v>
      </x:c>
      <x:c r="L1" s="20" t="str">
        <x:v>Dataset / Access URL</x:v>
      </x:c>
      <x:c r="M1" s="20" t="str">
        <x:v>Paper / Reference URL</x:v>
      </x:c>
      <x:c r="N1" s="20" t="str">
        <x:v>Why Relevant to ARL</x:v>
      </x:c>
      <x:c r="O1" s="20" t="str">
        <x:v>ARL Gap / Difference</x:v>
      </x:c>
      <x:c r="P1" s="20" t="str">
        <x:v>Priority</x:v>
      </x:c>
      <x:c r="Q1" s="20" t="str">
        <x:v>Status</x:v>
      </x:c>
      <x:c r="R1" s="20" t="str">
        <x:v>Notes</x:v>
      </x:c>
    </x:row>
    <x:row r="2">
      <x:c r="A2" s="26" t="n">
        <x:v>6</x:v>
      </x:c>
      <x:c r="B2" s="26" t="str">
        <x:v>Tier 1</x:v>
      </x:c>
      <x:c r="C2" s="26" t="str">
        <x:v>Social affect / dyadic datasets</x:v>
      </x:c>
      <x:c r="D2" s="26" t="str">
        <x:v>Dataset paper</x:v>
      </x:c>
      <x:c r="E2" s="26" t="str">
        <x:v>RECOLA: Remote Collaborative and Affective Interactions</x:v>
      </x:c>
      <x:c r="F2" s="26" t="n">
        <x:v>2013</x:v>
      </x:c>
      <x:c r="G2" s="26" t="str">
        <x:v>Ringeval et al.</x:v>
      </x:c>
      <x:c r="H2" s="26" t="str">
        <x:v>Audio; video; ECG; EDA</x:v>
      </x:c>
      <x:c r="I2" s="26" t="str">
        <x:v>Dyads</x:v>
      </x:c>
      <x:c r="J2" s="26" t="str">
        <x:v>Remote collaborative task</x:v>
      </x:c>
      <x:c r="K2" s="26" t="str">
        <x:v>Academic access</x:v>
      </x:c>
      <x:c r="L2" s="26" t="str">
        <x:v>https://recola.human-ist.ch/</x:v>
      </x:c>
      <x:c r="M2" s="26" t="str">
        <x:v>https://recola.human-ist.ch/data/emoSPACE13_RECOLA_Database.pdf</x:v>
      </x:c>
      <x:c r="N2" s="26" t="str">
        <x:v>Strong example of synchronized affective dyadic interaction.</x:v>
      </x:c>
      <x:c r="O2" s="26" t="str">
        <x:v>No EEG/eye tracking/EMG; dyadic remote collaboration.</x:v>
      </x:c>
      <x:c r="P2" s="26" t="str">
        <x:v>High</x:v>
      </x:c>
      <x:c r="Q2" s="26" t="str">
        <x:v>To review</x:v>
      </x:c>
      <x:c r="R2" s="26" t="str">
        <x:v>Useful for continuous annotation and sync</x:v>
      </x:c>
    </x:row>
    <x:row r="3">
      <x:c r="A3" s="26" t="n">
        <x:v>7</x:v>
      </x:c>
      <x:c r="B3" s="26" t="str">
        <x:v>Tier 1</x:v>
      </x:c>
      <x:c r="C3" s="26" t="str">
        <x:v>Social interaction datasets</x:v>
      </x:c>
      <x:c r="D3" s="26" t="str">
        <x:v>Dataset paper</x:v>
      </x:c>
      <x:c r="E3" s="26" t="str">
        <x:v>SEWA DB: Audio-Visual Emotion and Sentiment Research in the Wild</x:v>
      </x:c>
      <x:c r="F3" s="26" t="n">
        <x:v>2021</x:v>
      </x:c>
      <x:c r="G3" s="26" t="str">
        <x:v>Kossaifi et al.</x:v>
      </x:c>
      <x:c r="H3" s="26" t="str">
        <x:v>Audio; video; facial landmarks; action units; vocal cues</x:v>
      </x:c>
      <x:c r="I3" s="26" t="str">
        <x:v>Dyads</x:v>
      </x:c>
      <x:c r="J3" s="26" t="str">
        <x:v>Natural web-based conversations</x:v>
      </x:c>
      <x:c r="K3" s="26" t="str">
        <x:v>Research access</x:v>
      </x:c>
      <x:c r="L3" s="26" t="str">
        <x:v>http://db.sewaproject.eu/</x:v>
      </x:c>
      <x:c r="M3" s="26" t="str">
        <x:v>https://pubmed.ncbi.nlm.nih.gov/31581074/</x:v>
      </x:c>
      <x:c r="N3" s="26" t="str">
        <x:v>Useful for in-the-wild audiovisual affect and dyadic interaction.</x:v>
      </x:c>
      <x:c r="O3" s="26" t="str">
        <x:v>No physiology; not group decision making.</x:v>
      </x:c>
      <x:c r="P3" s="26" t="str">
        <x:v>High</x:v>
      </x:c>
      <x:c r="Q3" s="26" t="str">
        <x:v>To review</x:v>
      </x:c>
      <x:c r="R3" s="26" t="str">
        <x:v>Relevant to audio/video annotation</x:v>
      </x:c>
    </x:row>
    <x:row r="4">
      <x:c r="A4" s="26" t="n">
        <x:v>8</x:v>
      </x:c>
      <x:c r="B4" s="26" t="str">
        <x:v>Tier 1</x:v>
      </x:c>
      <x:c r="C4" s="26" t="str">
        <x:v>Meeting / group interaction</x:v>
      </x:c>
      <x:c r="D4" s="26" t="str">
        <x:v>Dataset paper</x:v>
      </x:c>
      <x:c r="E4" s="26" t="str">
        <x:v>AMI Meeting Corpus</x:v>
      </x:c>
      <x:c r="F4" s="26" t="n">
        <x:v>2005</x:v>
      </x:c>
      <x:c r="G4" s="26" t="str">
        <x:v>Carletta et al.</x:v>
      </x:c>
      <x:c r="H4" s="26" t="str">
        <x:v>Individual and room microphones; video; projector; whiteboard; transcripts</x:v>
      </x:c>
      <x:c r="I4" s="26" t="str">
        <x:v>Groups</x:v>
      </x:c>
      <x:c r="J4" s="26" t="str">
        <x:v>Scenario-driven and natural meetings</x:v>
      </x:c>
      <x:c r="K4" s="26" t="str">
        <x:v>Public/research</x:v>
      </x:c>
      <x:c r="L4" s="26" t="str">
        <x:v>https://groups.inf.ed.ac.uk/ami/corpus/</x:v>
      </x:c>
      <x:c r="M4" s="26" t="str">
        <x:v>https://link.springer.com/chapter/10.1007/11677482_3</x:v>
      </x:c>
      <x:c r="N4" s="26" t="str">
        <x:v>Foundational multimodal group interaction dataset.</x:v>
      </x:c>
      <x:c r="O4" s="26" t="str">
        <x:v>No physiology; meeting task not deception or uncertainty voting.</x:v>
      </x:c>
      <x:c r="P4" s="26" t="str">
        <x:v>High</x:v>
      </x:c>
      <x:c r="Q4" s="26" t="str">
        <x:v>To review</x:v>
      </x:c>
      <x:c r="R4" s="26" t="str">
        <x:v>Useful for mic/camera setup comparison</x:v>
      </x:c>
    </x:row>
    <x:row r="5">
      <x:c r="A5" s="26" t="n">
        <x:v>21</x:v>
      </x:c>
      <x:c r="B5" s="26" t="str">
        <x:v>Tier 2</x:v>
      </x:c>
      <x:c r="C5" s="26" t="str">
        <x:v>Social interaction datasets</x:v>
      </x:c>
      <x:c r="D5" s="26" t="str">
        <x:v>Dataset paper</x:v>
      </x:c>
      <x:c r="E5" s="26" t="str">
        <x:v>MELD: Multimodal EmotionLines Dataset</x:v>
      </x:c>
      <x:c r="F5" s="26" t="n">
        <x:v>2019</x:v>
      </x:c>
      <x:c r="G5" s="26" t="str">
        <x:v>Poria et al.</x:v>
      </x:c>
      <x:c r="H5" s="26" t="str">
        <x:v>Text; audio; video</x:v>
      </x:c>
      <x:c r="I5" s="26" t="str">
        <x:v>Multi-party</x:v>
      </x:c>
      <x:c r="J5" s="26" t="str">
        <x:v>TV-series multi-party conversations</x:v>
      </x:c>
      <x:c r="K5" s="26" t="str">
        <x:v>Public</x:v>
      </x:c>
      <x:c r="L5" s="26" t="str">
        <x:v>https://affective-meld.github.io/</x:v>
      </x:c>
      <x:c r="M5" s="26" t="str">
        <x:v>https://aclanthology.org/P19-1050/</x:v>
      </x:c>
      <x:c r="N5" s="26" t="str">
        <x:v>Important multi-party conversation benchmark.</x:v>
      </x:c>
      <x:c r="O5" s="26" t="str">
        <x:v>No physiology; acted/scripted media source.</x:v>
      </x:c>
      <x:c r="P5" s="26" t="str">
        <x:v>Medium</x:v>
      </x:c>
      <x:c r="Q5" s="26" t="str">
        <x:v>To review</x:v>
      </x:c>
      <x:c r="R5" s="26" t="str">
        <x:v>Useful for dialogue-level modeling</x:v>
      </x:c>
    </x:row>
    <x:row r="6">
      <x:c r="A6" s="26" t="n">
        <x:v>22</x:v>
      </x:c>
      <x:c r="B6" s="26" t="str">
        <x:v>Tier 2</x:v>
      </x:c>
      <x:c r="C6" s="26" t="str">
        <x:v>Social interaction datasets</x:v>
      </x:c>
      <x:c r="D6" s="26" t="str">
        <x:v>Dataset paper</x:v>
      </x:c>
      <x:c r="E6" s="26" t="str">
        <x:v>IEMOCAP: Interactive Emotional Dyadic Motion Capture Database</x:v>
      </x:c>
      <x:c r="F6" s="26" t="n">
        <x:v>2008</x:v>
      </x:c>
      <x:c r="G6" s="26" t="str">
        <x:v>Busso et al.</x:v>
      </x:c>
      <x:c r="H6" s="26" t="str">
        <x:v>Audio; video; motion capture; text annotations</x:v>
      </x:c>
      <x:c r="I6" s="26" t="str">
        <x:v>Dyads</x:v>
      </x:c>
      <x:c r="J6" s="26" t="str">
        <x:v>Scripted and spontaneous dialogues</x:v>
      </x:c>
      <x:c r="K6" s="26" t="str">
        <x:v>Research access</x:v>
      </x:c>
      <x:c r="L6" s="26" t="str">
        <x:v>https://sail.usc.edu/iemocap/</x:v>
      </x:c>
      <x:c r="M6" s="26" t="str">
        <x:v>https://www.carlosbusso.com/publications/Busso_2008_5.pdf</x:v>
      </x:c>
      <x:c r="N6" s="26" t="str">
        <x:v>Classic interactive dyadic multimodal emotion dataset.</x:v>
      </x:c>
      <x:c r="O6" s="26" t="str">
        <x:v>No physiology; dyadic actors.</x:v>
      </x:c>
      <x:c r="P6" s="26" t="str">
        <x:v>Medium</x:v>
      </x:c>
      <x:c r="Q6" s="26" t="str">
        <x:v>To review</x:v>
      </x:c>
      <x:c r="R6" s="26" t="str">
        <x:v>Useful for audio/video annotation</x:v>
      </x:c>
    </x:row>
    <x:row r="7">
      <x:c r="A7" s="26" t="n">
        <x:v>23</x:v>
      </x:c>
      <x:c r="B7" s="26" t="str">
        <x:v>Tier 2</x:v>
      </x:c>
      <x:c r="C7" s="26" t="str">
        <x:v>Meeting / group interaction</x:v>
      </x:c>
      <x:c r="D7" s="26" t="str">
        <x:v>Dataset paper</x:v>
      </x:c>
      <x:c r="E7" s="26" t="str">
        <x:v>ICSI Meeting Corpus</x:v>
      </x:c>
      <x:c r="F7" s="26" t="n">
        <x:v>2004</x:v>
      </x:c>
      <x:c r="G7" s="26" t="str">
        <x:v>Janin et al.</x:v>
      </x:c>
      <x:c r="H7" s="26" t="str">
        <x:v>Multi-channel audio; transcripts</x:v>
      </x:c>
      <x:c r="I7" s="26" t="str">
        <x:v>Groups</x:v>
      </x:c>
      <x:c r="J7" s="26" t="str">
        <x:v>Meetings</x:v>
      </x:c>
      <x:c r="K7" s="26" t="str">
        <x:v>Public/research</x:v>
      </x:c>
      <x:c r="L7" s="26" t="str">
        <x:v>http://www1.icsi.berkeley.edu/Speech/mr/</x:v>
      </x:c>
      <x:c r="M7" s="26" t="str">
        <x:v>https://www1.icsi.berkeley.edu/Speech/papers/icsi05-meeting-corpus.pdf</x:v>
      </x:c>
      <x:c r="N7" s="26" t="str">
        <x:v>Classic meeting corpus for conversation/speaker interaction.</x:v>
      </x:c>
      <x:c r="O7" s="26" t="str">
        <x:v>No physiology/video in main corpus; not decision physiology.</x:v>
      </x:c>
      <x:c r="P7" s="26" t="str">
        <x:v>Medium</x:v>
      </x:c>
      <x:c r="Q7" s="26" t="str">
        <x:v>To review</x:v>
      </x:c>
      <x:c r="R7" s="26" t="str">
        <x:v>Useful for speech segmentation</x:v>
      </x:c>
    </x:row>
    <x:row r="8">
      <x:c r="A8" s="26" t="n">
        <x:v>24</x:v>
      </x:c>
      <x:c r="B8" s="26" t="str">
        <x:v>Tier 2</x:v>
      </x:c>
      <x:c r="C8" s="26" t="str">
        <x:v>Meeting / group interaction</x:v>
      </x:c>
      <x:c r="D8" s="26" t="str">
        <x:v>Dataset paper</x:v>
      </x:c>
      <x:c r="E8" s="26" t="str">
        <x:v>ELEA Audio-Visual Synchronous Corpus</x:v>
      </x:c>
      <x:c r="F8" s="26" t="n">
        <x:v>2012</x:v>
      </x:c>
      <x:c r="G8" s="26" t="str">
        <x:v>Sanchez-Cortes et al.</x:v>
      </x:c>
      <x:c r="H8" s="26" t="str">
        <x:v>Audio; video; nonverbal behavior annotations</x:v>
      </x:c>
      <x:c r="I8" s="26" t="str">
        <x:v>Small groups</x:v>
      </x:c>
      <x:c r="J8" s="26" t="str">
        <x:v>Leadership emergence / group discussion</x:v>
      </x:c>
      <x:c r="K8" s="26" t="str">
        <x:v>Research access</x:v>
      </x:c>
      <x:c r="L8" s="26" t="str"/>
      <x:c r="M8" s="26" t="str">
        <x:v>https://dl.acm.org/doi/10.1145/2388676.2388680</x:v>
      </x:c>
      <x:c r="N8" s="26" t="str">
        <x:v>Relevant for small-group behavior and leadership/dominance.</x:v>
      </x:c>
      <x:c r="O8" s="26" t="str">
        <x:v>No physiology or deception paradigm.</x:v>
      </x:c>
      <x:c r="P8" s="26" t="str">
        <x:v>Medium</x:v>
      </x:c>
      <x:c r="Q8" s="26" t="str">
        <x:v>To verify</x:v>
      </x:c>
      <x:c r="R8" s="26" t="str">
        <x:v>Useful for social dynamics</x:v>
      </x:c>
    </x:row>
    <x:row r="9">
      <x:c r="A9" s="26" t="n">
        <x:v>25</x:v>
      </x:c>
      <x:c r="B9" s="26" t="str">
        <x:v>Tier 2</x:v>
      </x:c>
      <x:c r="C9" s="26" t="str">
        <x:v>Meeting / group interaction</x:v>
      </x:c>
      <x:c r="D9" s="26" t="str">
        <x:v>Dataset paper</x:v>
      </x:c>
      <x:c r="E9" s="26" t="str">
        <x:v>MPIIGroupInteraction: Multi-person Group Interaction Dataset</x:v>
      </x:c>
      <x:c r="F9" s="26" t="n">
        <x:v>2018</x:v>
      </x:c>
      <x:c r="G9" s="26" t="str">
        <x:v>Müller et al.</x:v>
      </x:c>
      <x:c r="H9" s="26" t="str">
        <x:v>Video; pose/behavior annotations</x:v>
      </x:c>
      <x:c r="I9" s="26" t="str">
        <x:v>Groups</x:v>
      </x:c>
      <x:c r="J9" s="26" t="str">
        <x:v>Natural group conversation</x:v>
      </x:c>
      <x:c r="K9" s="26" t="str">
        <x:v>Research/public</x:v>
      </x:c>
      <x:c r="L9" s="26" t="str">
        <x:v>https://team.inria.fr/robotlearn/the-mpii-group-interaction-dataset/</x:v>
      </x:c>
      <x:c r="M9" s="26" t="str">
        <x:v>https://openaccess.thecvf.com/content_cvpr_2018_workshops/w32/html/Muller_Multi-Person_3D_Pose_CVPR_2018_paper.html</x:v>
      </x:c>
      <x:c r="N9" s="26" t="str">
        <x:v>Relevant for group visual behavior analysis.</x:v>
      </x:c>
      <x:c r="O9" s="26" t="str">
        <x:v>No physiology/audio focus; not task-controlled.</x:v>
      </x:c>
      <x:c r="P9" s="26" t="str">
        <x:v>Medium</x:v>
      </x:c>
      <x:c r="Q9" s="26" t="str">
        <x:v>To verify</x:v>
      </x:c>
      <x:c r="R9" s="26" t="str">
        <x:v>Optional computer-vision angle</x:v>
      </x:c>
    </x:row>
    <x:row r="10">
      <x:c r="A10" s="26" t="n">
        <x:v>26</x:v>
      </x:c>
      <x:c r="B10" s="26" t="str">
        <x:v>Tier 2</x:v>
      </x:c>
      <x:c r="C10" s="26" t="str">
        <x:v>Social interaction datasets</x:v>
      </x:c>
      <x:c r="D10" s="26" t="str">
        <x:v>Dataset paper</x:v>
      </x:c>
      <x:c r="E10" s="26" t="str">
        <x:v>MatchNMingle: Multi-sensor Social Mingling Dataset</x:v>
      </x:c>
      <x:c r="F10" s="26" t="n">
        <x:v>2018</x:v>
      </x:c>
      <x:c r="G10" s="26" t="str">
        <x:v>Cabrera-Quiros et al.</x:v>
      </x:c>
      <x:c r="H10" s="26" t="str">
        <x:v>Wearable acceleration; proximity; audio; video annotations</x:v>
      </x:c>
      <x:c r="I10" s="26" t="str">
        <x:v>Groups/social event</x:v>
      </x:c>
      <x:c r="J10" s="26" t="str">
        <x:v>Free mingling interaction</x:v>
      </x:c>
      <x:c r="K10" s="26" t="str">
        <x:v>Research access</x:v>
      </x:c>
      <x:c r="L10" s="26" t="str"/>
      <x:c r="M10" s="26" t="str">
        <x:v>https://dl.acm.org/doi/10.1145/3267305.3274114</x:v>
      </x:c>
      <x:c r="N10" s="26" t="str">
        <x:v>Useful for group social dynamics and wearable sensing.</x:v>
      </x:c>
      <x:c r="O10" s="26" t="str">
        <x:v>No EEG/ECG/GSR; not decision task.</x:v>
      </x:c>
      <x:c r="P10" s="26" t="str">
        <x:v>Medium</x:v>
      </x:c>
      <x:c r="Q10" s="26" t="str">
        <x:v>To verify</x:v>
      </x:c>
      <x:c r="R10" s="26" t="str">
        <x:v>Good for social network features</x:v>
      </x:c>
    </x:row>
    <x:row r="11">
      <x:c r="A11" s="26" t="n">
        <x:v>27</x:v>
      </x:c>
      <x:c r="B11" s="26" t="str">
        <x:v>Tier 2</x:v>
      </x:c>
      <x:c r="C11" s="26" t="str">
        <x:v>Social interaction datasets</x:v>
      </x:c>
      <x:c r="D11" s="26" t="str">
        <x:v>Dataset paper</x:v>
      </x:c>
      <x:c r="E11" s="26" t="str">
        <x:v>NOXI Database: Multimodal Natural Human-Computer Interaction</x:v>
      </x:c>
      <x:c r="F11" s="26" t="n">
        <x:v>2017</x:v>
      </x:c>
      <x:c r="G11" s="26" t="str">
        <x:v>Cafaro et al.</x:v>
      </x:c>
      <x:c r="H11" s="26" t="str">
        <x:v>Audio; video; motion/behavior</x:v>
      </x:c>
      <x:c r="I11" s="26" t="str">
        <x:v>Dyads/HCI</x:v>
      </x:c>
      <x:c r="J11" s="26" t="str">
        <x:v>Expert-novice interaction</x:v>
      </x:c>
      <x:c r="K11" s="26" t="str">
        <x:v>Research access</x:v>
      </x:c>
      <x:c r="L11" s="26" t="str">
        <x:v>https://noxi.aria-agent.eu/</x:v>
      </x:c>
      <x:c r="M11" s="26" t="str">
        <x:v>https://dl.acm.org/doi/10.1145/3136755.3136759</x:v>
      </x:c>
      <x:c r="N11" s="26" t="str">
        <x:v>Useful for naturalistic interaction and nonverbal cues.</x:v>
      </x:c>
      <x:c r="O11" s="26" t="str">
        <x:v>No physiology; not group decision.</x:v>
      </x:c>
      <x:c r="P11" s="26" t="str">
        <x:v>Low</x:v>
      </x:c>
      <x:c r="Q11" s="26" t="str">
        <x:v>To verify</x:v>
      </x:c>
      <x:c r="R11" s="26" t="str">
        <x:v>Peripheral relevance</x:v>
      </x:c>
    </x:row>
    <x:row r="12">
      <x:c r="A12" s="26" t="n">
        <x:v>28</x:v>
      </x:c>
      <x:c r="B12" s="26" t="str">
        <x:v>Tier 2</x:v>
      </x:c>
      <x:c r="C12" s="26" t="str">
        <x:v>Social interaction datasets</x:v>
      </x:c>
      <x:c r="D12" s="26" t="str">
        <x:v>Dataset paper</x:v>
      </x:c>
      <x:c r="E12" s="26" t="str">
        <x:v>Aff-Wild: In-the-Wild Affect Recognition Database</x:v>
      </x:c>
      <x:c r="F12" s="26" t="n">
        <x:v>2019</x:v>
      </x:c>
      <x:c r="G12" s="26" t="str">
        <x:v>Kollias et al.</x:v>
      </x:c>
      <x:c r="H12" s="26" t="str">
        <x:v>Video; audio in related variants; valence/arousal annotations</x:v>
      </x:c>
      <x:c r="I12" s="26" t="str">
        <x:v>Individual/video subjects</x:v>
      </x:c>
      <x:c r="J12" s="26" t="str">
        <x:v>In-the-wild affect videos</x:v>
      </x:c>
      <x:c r="K12" s="26" t="str">
        <x:v>Research access</x:v>
      </x:c>
      <x:c r="L12" s="26" t="str">
        <x:v>https://ibug.doc.ic.ac.uk/resources/aff-wild2/</x:v>
      </x:c>
      <x:c r="M12" s="26" t="str">
        <x:v>https://link.springer.com/article/10.1007/s11263-019-01158-4</x:v>
      </x:c>
      <x:c r="N12" s="26" t="str">
        <x:v>Useful for video affect benchmark context.</x:v>
      </x:c>
      <x:c r="O12" s="26" t="str">
        <x:v>No physiology/group task.</x:v>
      </x:c>
      <x:c r="P12" s="26" t="str">
        <x:v>Low</x:v>
      </x:c>
      <x:c r="Q12" s="26" t="str">
        <x:v>To review</x:v>
      </x:c>
      <x:c r="R12" s="26" t="str">
        <x:v>Not core but recognizable</x:v>
      </x:c>
    </x:row>
    <x:row r="13">
      <x:c r="A13" s="26" t="n">
        <x:v>29</x:v>
      </x:c>
      <x:c r="B13" s="26" t="str">
        <x:v>Tier 2</x:v>
      </x:c>
      <x:c r="C13" s="26" t="str">
        <x:v>Social interaction datasets</x:v>
      </x:c>
      <x:c r="D13" s="26" t="str">
        <x:v>Dataset paper</x:v>
      </x:c>
      <x:c r="E13" s="26" t="str">
        <x:v>AVEC Challenges / Audio-Visual Emotion Challenge Corpora</x:v>
      </x:c>
      <x:c r="F13" s="26" t="n">
        <x:v>2016</x:v>
      </x:c>
      <x:c r="G13" s="26" t="str">
        <x:v>Valstar/Ringeval et al.</x:v>
      </x:c>
      <x:c r="H13" s="26" t="str">
        <x:v>Audio; video; physiology depending on year</x:v>
      </x:c>
      <x:c r="I13" s="26" t="str">
        <x:v>Dyads/individual</x:v>
      </x:c>
      <x:c r="J13" s="26" t="str">
        <x:v>Affect/depression/emotion challenge tasks</x:v>
      </x:c>
      <x:c r="K13" s="26" t="str">
        <x:v>Research access</x:v>
      </x:c>
      <x:c r="L13" s="26" t="str">
        <x:v>https://avec-challenge.org/</x:v>
      </x:c>
      <x:c r="M13" s="26" t="str">
        <x:v>https://d-nb.info/1248484878/34</x:v>
      </x:c>
      <x:c r="N13" s="26" t="str">
        <x:v>Useful benchmark family for multimodal affect.</x:v>
      </x:c>
      <x:c r="O13" s="26" t="str">
        <x:v>Not tailored to group decision; varies by year.</x:v>
      </x:c>
      <x:c r="P13" s="26" t="str">
        <x:v>Medium</x:v>
      </x:c>
      <x:c r="Q13" s="26" t="str">
        <x:v>To review</x:v>
      </x:c>
      <x:c r="R13" s="26" t="str">
        <x:v>Cite if benchmarking methods</x:v>
      </x:c>
    </x:row>
    <x:row r="14">
      <x:c r="A14" s="26" t="n">
        <x:v>31</x:v>
      </x:c>
      <x:c r="B14" s="26" t="str">
        <x:v>Tier 3</x:v>
      </x:c>
      <x:c r="C14" s="26" t="str">
        <x:v>Decision/social neuroscience</x:v>
      </x:c>
      <x:c r="D14" s="26" t="str">
        <x:v>Review paper</x:v>
      </x:c>
      <x:c r="E14" s="26" t="str">
        <x:v>Hyperscanning: A Valid Method to Study Neural Inter-brain Underpinnings of Social Interaction</x:v>
      </x:c>
      <x:c r="F14" s="26" t="n">
        <x:v>2020</x:v>
      </x:c>
      <x:c r="G14" s="26" t="str">
        <x:v>Czeszumski et al.</x:v>
      </x:c>
      <x:c r="H14" s="26" t="str">
        <x:v>EEG/fNIRS/fMRI hyperscanning methods</x:v>
      </x:c>
      <x:c r="I14" s="26" t="str">
        <x:v>Dyads/groups</x:v>
      </x:c>
      <x:c r="J14" s="26" t="str">
        <x:v>Social interaction review</x:v>
      </x:c>
      <x:c r="K14" s="26" t="str">
        <x:v>Open</x:v>
      </x:c>
      <x:c r="L14" s="26" t="str">
        <x:v>https://www.frontiersin.org/articles/10.3389/fnhum.2020.00039/full</x:v>
      </x:c>
      <x:c r="M14" s="26" t="str">
        <x:v>https://www.frontiersin.org/articles/10.3389/fnhum.2020.00039/full</x:v>
      </x:c>
      <x:c r="N14" s="26" t="str">
        <x:v>Foundational hyperscanning methods and analysis reference.</x:v>
      </x:c>
      <x:c r="O14" s="26" t="str">
        <x:v>Not a dataset; broader than ARL.</x:v>
      </x:c>
      <x:c r="P14" s="26" t="str">
        <x:v>High</x:v>
      </x:c>
      <x:c r="Q14" s="26" t="str">
        <x:v>To review</x:v>
      </x:c>
      <x:c r="R14" s="26" t="str">
        <x:v>Use in theoretical framing</x:v>
      </x:c>
    </x:row>
    <x:row r="15">
      <x:c r="A15" s="26" t="n">
        <x:v>32</x:v>
      </x:c>
      <x:c r="B15" s="26" t="str">
        <x:v>Tier 3</x:v>
      </x:c>
      <x:c r="C15" s="26" t="str">
        <x:v>Decision/social neuroscience</x:v>
      </x:c>
      <x:c r="D15" s="26" t="str">
        <x:v>Review paper</x:v>
      </x:c>
      <x:c r="E15" s="26" t="str">
        <x:v>Review and Progress on EEG-Based Hyperscanning in Social Interactions</x:v>
      </x:c>
      <x:c r="F15" s="26" t="n">
        <x:v>2018</x:v>
      </x:c>
      <x:c r="G15" s="26" t="str">
        <x:v>Liu et al.</x:v>
      </x:c>
      <x:c r="H15" s="26" t="str">
        <x:v>EEG hyperscanning</x:v>
      </x:c>
      <x:c r="I15" s="26" t="str">
        <x:v>Dyads/groups</x:v>
      </x:c>
      <x:c r="J15" s="26" t="str">
        <x:v>Social interaction review</x:v>
      </x:c>
      <x:c r="K15" s="26" t="str">
        <x:v>Open</x:v>
      </x:c>
      <x:c r="L15" s="26" t="str">
        <x:v>https://pmc.ncbi.nlm.nih.gov/articles/PMC6186988/</x:v>
      </x:c>
      <x:c r="M15" s="26" t="str">
        <x:v>https://pmc.ncbi.nlm.nih.gov/articles/PMC6186988/</x:v>
      </x:c>
      <x:c r="N15" s="26" t="str">
        <x:v>Directly supports multi-person EEG framing.</x:v>
      </x:c>
      <x:c r="O15" s="26" t="str">
        <x:v>Not multimodal dataset-specific.</x:v>
      </x:c>
      <x:c r="P15" s="26" t="str">
        <x:v>High</x:v>
      </x:c>
      <x:c r="Q15" s="26" t="str">
        <x:v>To review</x:v>
      </x:c>
      <x:c r="R15" s="26" t="str">
        <x:v>Use for multi-brain rationale</x:v>
      </x:c>
    </x:row>
    <x:row r="16">
      <x:c r="A16" s="26" t="n">
        <x:v>33</x:v>
      </x:c>
      <x:c r="B16" s="26" t="str">
        <x:v>Tier 3</x:v>
      </x:c>
      <x:c r="C16" s="26" t="str">
        <x:v>Decision/social neuroscience</x:v>
      </x:c>
      <x:c r="D16" s="26" t="str">
        <x:v>Review paper</x:v>
      </x:c>
      <x:c r="E16" s="26" t="str">
        <x:v>Cooperation and Competition with Hyperscanning Methods</x:v>
      </x:c>
      <x:c r="F16" s="26" t="n">
        <x:v>2017</x:v>
      </x:c>
      <x:c r="G16" s="26" t="str">
        <x:v>Balconi &amp; Vanutelli</x:v>
      </x:c>
      <x:c r="H16" s="26" t="str">
        <x:v>EEG/fNIRS hyperscanning</x:v>
      </x:c>
      <x:c r="I16" s="26" t="str">
        <x:v>Dyads/groups</x:v>
      </x:c>
      <x:c r="J16" s="26" t="str">
        <x:v>Cooperation/competition review</x:v>
      </x:c>
      <x:c r="K16" s="26" t="str">
        <x:v>Open</x:v>
      </x:c>
      <x:c r="L16" s="26" t="str">
        <x:v>https://www.frontiersin.org/articles/10.3389/fncom.2017.00086/full</x:v>
      </x:c>
      <x:c r="M16" s="26" t="str">
        <x:v>https://www.frontiersin.org/articles/10.3389/fncom.2017.00086/full</x:v>
      </x:c>
      <x:c r="N16" s="26" t="str">
        <x:v>Relevant to cooperation/competition dynamics in spy game.</x:v>
      </x:c>
      <x:c r="O16" s="26" t="str">
        <x:v>Review only; no ARL-like multimodal release.</x:v>
      </x:c>
      <x:c r="P16" s="26" t="str">
        <x:v>Medium</x:v>
      </x:c>
      <x:c r="Q16" s="26" t="str">
        <x:v>To review</x:v>
      </x:c>
      <x:c r="R16" s="26" t="str">
        <x:v>Useful for discussion</x:v>
      </x:c>
    </x:row>
    <x:row r="17">
      <x:c r="A17" s="26" t="n">
        <x:v>34</x:v>
      </x:c>
      <x:c r="B17" s="26" t="str">
        <x:v>Tier 3</x:v>
      </x:c>
      <x:c r="C17" s="26" t="str">
        <x:v>Decision/social neuroscience</x:v>
      </x:c>
      <x:c r="D17" s="26" t="str">
        <x:v>Research paper</x:v>
      </x:c>
      <x:c r="E17" s="26" t="str">
        <x:v>Cortical Activity and Connectivity During Prisoner's Dilemma: An EEG Hyperscanning Study</x:v>
      </x:c>
      <x:c r="F17" s="26" t="n">
        <x:v>2007</x:v>
      </x:c>
      <x:c r="G17" s="26" t="str">
        <x:v>Babiloni et al.</x:v>
      </x:c>
      <x:c r="H17" s="26" t="str">
        <x:v>EEG hyperscanning</x:v>
      </x:c>
      <x:c r="I17" s="26" t="str">
        <x:v>Multiple participants</x:v>
      </x:c>
      <x:c r="J17" s="26" t="str">
        <x:v>Prisoner's dilemma</x:v>
      </x:c>
      <x:c r="K17" s="26" t="str">
        <x:v>Publication only</x:v>
      </x:c>
      <x:c r="L17" s="26" t="str"/>
      <x:c r="M17" s="26" t="str">
        <x:v>https://pubmed.ncbi.nlm.nih.gov/18003118/</x:v>
      </x:c>
      <x:c r="N17" s="26" t="str">
        <x:v>Classic EEG hyperscanning decision-making study.</x:v>
      </x:c>
      <x:c r="O17" s="26" t="str">
        <x:v>Not public multimodal dataset; no multimodal signals.</x:v>
      </x:c>
      <x:c r="P17" s="26" t="str">
        <x:v>High</x:v>
      </x:c>
      <x:c r="Q17" s="26" t="str">
        <x:v>To review</x:v>
      </x:c>
      <x:c r="R17" s="26" t="str">
        <x:v>Conceptually important</x:v>
      </x:c>
    </x:row>
    <x:row r="18">
      <x:c r="A18" s="26" t="n">
        <x:v>35</x:v>
      </x:c>
      <x:c r="B18" s="26" t="str">
        <x:v>Tier 3</x:v>
      </x:c>
      <x:c r="C18" s="26" t="str">
        <x:v>Decision/social neuroscience</x:v>
      </x:c>
      <x:c r="D18" s="26" t="str">
        <x:v>Dataset paper</x:v>
      </x:c>
      <x:c r="E18" s="26" t="str">
        <x:v>EEG-BIDS Three-Person Hyperscanning Prisoner's Dilemma Dataset</x:v>
      </x:c>
      <x:c r="F18" s="26" t="n">
        <x:v>2026</x:v>
      </x:c>
      <x:c r="G18" s="26" t="str">
        <x:v>OpenNeuro ds007822</x:v>
      </x:c>
      <x:c r="H18" s="26" t="str">
        <x:v>EEG; behavioral data</x:v>
      </x:c>
      <x:c r="I18" s="26" t="str">
        <x:v>Three-person groups/triads</x:v>
      </x:c>
      <x:c r="J18" s="26" t="str">
        <x:v>Prisoner's dilemma</x:v>
      </x:c>
      <x:c r="K18" s="26" t="str">
        <x:v>Public</x:v>
      </x:c>
      <x:c r="L18" s="26" t="str">
        <x:v>https://openneuro.org/datasets/ds007822/versions/1.0.0</x:v>
      </x:c>
      <x:c r="M18" s="26" t="str">
        <x:v>https://openneuro.org/datasets/ds007822/versions/1.0.0</x:v>
      </x:c>
      <x:c r="N18" s="26" t="str">
        <x:v>Very close on group decision + EEG hyperscanning.</x:v>
      </x:c>
      <x:c r="O18" s="26" t="str">
        <x:v>No multimodal physiology/audio/video/eye tracking; 3 not 5 people.</x:v>
      </x:c>
      <x:c r="P18" s="26" t="str">
        <x:v>High</x:v>
      </x:c>
      <x:c r="Q18" s="26" t="str">
        <x:v>To review</x:v>
      </x:c>
      <x:c r="R18" s="26" t="str">
        <x:v>Important ARL comparison</x:v>
      </x:c>
    </x:row>
    <x:row r="19">
      <x:c r="A19" s="26" t="n">
        <x:v>36</x:v>
      </x:c>
      <x:c r="B19" s="26" t="str">
        <x:v>Tier 3</x:v>
      </x:c>
      <x:c r="C19" s="26" t="str">
        <x:v>Decision/social neuroscience</x:v>
      </x:c>
      <x:c r="D19" s="26" t="str">
        <x:v>Research paper</x:v>
      </x:c>
      <x:c r="E19" s="26" t="str">
        <x:v>EEG Hyperscanning Reveals Dynamic Interbrain Network Reorganization During Social Decision-Making</x:v>
      </x:c>
      <x:c r="F19" s="26" t="n">
        <x:v>2026</x:v>
      </x:c>
      <x:c r="G19" s="26" t="str">
        <x:v>Li et al.</x:v>
      </x:c>
      <x:c r="H19" s="26" t="str">
        <x:v>EEG hyperscanning</x:v>
      </x:c>
      <x:c r="I19" s="26" t="str">
        <x:v>Dyads/groups depending task</x:v>
      </x:c>
      <x:c r="J19" s="26" t="str">
        <x:v>Social decision-making</x:v>
      </x:c>
      <x:c r="K19" s="26" t="str">
        <x:v>Publication only</x:v>
      </x:c>
      <x:c r="L19" s="26" t="str"/>
      <x:c r="M19" s="26" t="str">
        <x:v>https://www.nature.com/articles/s42003-026-09852-z</x:v>
      </x:c>
      <x:c r="N19" s="26" t="str">
        <x:v>Recent social decision EEG hyperscanning paper.</x:v>
      </x:c>
      <x:c r="O19" s="26" t="str">
        <x:v>Not dataset/platform-focused; exact access to data uncertain.</x:v>
      </x:c>
      <x:c r="P19" s="26" t="str">
        <x:v>Medium</x:v>
      </x:c>
      <x:c r="Q19" s="26" t="str">
        <x:v>To review</x:v>
      </x:c>
      <x:c r="R19" s="26" t="str">
        <x:v>Modern theoretical reference</x:v>
      </x:c>
    </x:row>
    <x:row r="20">
      <x:c r="A20" s="26" t="n">
        <x:v>37</x:v>
      </x:c>
      <x:c r="B20" s="26" t="str">
        <x:v>Tier 3</x:v>
      </x:c>
      <x:c r="C20" s="26" t="str">
        <x:v>Decision/social neuroscience</x:v>
      </x:c>
      <x:c r="D20" s="26" t="str">
        <x:v>Dataset paper</x:v>
      </x:c>
      <x:c r="E20" s="26" t="str">
        <x:v>An EEG Dataset of Neural Signatures in a Competitive Two-Player Card Game</x:v>
      </x:c>
      <x:c r="F20" s="26" t="n">
        <x:v>2024</x:v>
      </x:c>
      <x:c r="G20" s="26" t="str">
        <x:v>Chen et al.</x:v>
      </x:c>
      <x:c r="H20" s="26" t="str">
        <x:v>EEG; behavioral data</x:v>
      </x:c>
      <x:c r="I20" s="26" t="str">
        <x:v>Two-player</x:v>
      </x:c>
      <x:c r="J20" s="26" t="str">
        <x:v>Competitive card game / deception</x:v>
      </x:c>
      <x:c r="K20" s="26" t="str">
        <x:v>Public/Scientific Data</x:v>
      </x:c>
      <x:c r="L20" s="26" t="str">
        <x:v>https://www.nature.com/articles/s41597-024-03234-y</x:v>
      </x:c>
      <x:c r="M20" s="26" t="str">
        <x:v>https://www.nature.com/articles/s41597-024-03234-y</x:v>
      </x:c>
      <x:c r="N20" s="26" t="str">
        <x:v>Highly relevant deception/competition EEG dataset.</x:v>
      </x:c>
      <x:c r="O20" s="26" t="str">
        <x:v>Dyadic; no ECG/GSR/EMG/eye/audio/video group capture.</x:v>
      </x:c>
      <x:c r="P20" s="26" t="str">
        <x:v>High</x:v>
      </x:c>
      <x:c r="Q20" s="26" t="str">
        <x:v>To review</x:v>
      </x:c>
      <x:c r="R20" s="26" t="str">
        <x:v>Strong ARL novelty comparison</x:v>
      </x:c>
    </x:row>
    <x:row r="21">
      <x:c r="A21" s="26" t="n">
        <x:v>38</x:v>
      </x:c>
      <x:c r="B21" s="26" t="str">
        <x:v>Tier 3</x:v>
      </x:c>
      <x:c r="C21" s="26" t="str">
        <x:v>Decision/social neuroscience</x:v>
      </x:c>
      <x:c r="D21" s="26" t="str">
        <x:v>Dataset paper</x:v>
      </x:c>
      <x:c r="E21" s="26" t="str">
        <x:v>IllusionGameEEG Dataset</x:v>
      </x:c>
      <x:c r="F21" s="26" t="n">
        <x:v>2023</x:v>
      </x:c>
      <x:c r="G21" s="26" t="str">
        <x:v>OpenNeuro ds004587</x:v>
      </x:c>
      <x:c r="H21" s="26" t="str">
        <x:v>EEG; physiological; behavioral data</x:v>
      </x:c>
      <x:c r="I21" s="26" t="str">
        <x:v>Individual</x:v>
      </x:c>
      <x:c r="J21" s="26" t="str">
        <x:v>Illusion/game-like cognitive task</x:v>
      </x:c>
      <x:c r="K21" s="26" t="str">
        <x:v>Public</x:v>
      </x:c>
      <x:c r="L21" s="26" t="str">
        <x:v>https://openneuro.org/datasets/ds004587/versions/1.0.0</x:v>
      </x:c>
      <x:c r="M21" s="26" t="str">
        <x:v>https://openneuro.org/datasets/ds004587/versions/1.0.0</x:v>
      </x:c>
      <x:c r="N21" s="26" t="str">
        <x:v>EEG + physiology + behavioral data in game-like task.</x:v>
      </x:c>
      <x:c r="O21" s="26" t="str">
        <x:v>No group interaction/social deduction.</x:v>
      </x:c>
      <x:c r="P21" s="26" t="str">
        <x:v>Medium</x:v>
      </x:c>
      <x:c r="Q21" s="26" t="str">
        <x:v>To verify</x:v>
      </x:c>
      <x:c r="R21" s="26" t="str">
        <x:v>Potential methods comparison</x:v>
      </x:c>
    </x:row>
    <x:row r="22">
      <x:c r="A22" s="26" t="n">
        <x:v>39</x:v>
      </x:c>
      <x:c r="B22" s="26" t="str">
        <x:v>Tier 3</x:v>
      </x:c>
      <x:c r="C22" s="26" t="str">
        <x:v>Decision/social neuroscience</x:v>
      </x:c>
      <x:c r="D22" s="26" t="str">
        <x:v>Research paper</x:v>
      </x:c>
      <x:c r="E22" s="26" t="str">
        <x:v>Neural Decoding of Competitive Decision-Making in Rock–Paper–Scissors</x:v>
      </x:c>
      <x:c r="F22" s="26" t="n">
        <x:v>2025</x:v>
      </x:c>
      <x:c r="G22" s="26" t="str">
        <x:v>Moerel et al.</x:v>
      </x:c>
      <x:c r="H22" s="26" t="str">
        <x:v>EEG hyperscanning</x:v>
      </x:c>
      <x:c r="I22" s="26" t="str">
        <x:v>Dyads</x:v>
      </x:c>
      <x:c r="J22" s="26" t="str">
        <x:v>Competitive Rock-Paper-Scissors</x:v>
      </x:c>
      <x:c r="K22" s="26" t="str">
        <x:v>Publication only</x:v>
      </x:c>
      <x:c r="L22" s="26" t="str"/>
      <x:c r="M22" s="26" t="str">
        <x:v>https://boa.unimib.it/retrieve/77d8308f-f97c-4d5d-ad41-f4b1967f573c/Moerel%20et%20al-2025-Social%20Cognitive%20and%20Affective%20Neuroscience-VoR.pdf</x:v>
      </x:c>
      <x:c r="N22" s="26" t="str">
        <x:v>Recent competitive decision EEG hyperscanning reference.</x:v>
      </x:c>
      <x:c r="O22" s="26" t="str">
        <x:v>No full multimodal dataset; dyads only.</x:v>
      </x:c>
      <x:c r="P22" s="26" t="str">
        <x:v>Medium</x:v>
      </x:c>
      <x:c r="Q22" s="26" t="str">
        <x:v>To review</x:v>
      </x:c>
      <x:c r="R22" s="26" t="str">
        <x:v>Useful for classifier framing</x:v>
      </x:c>
    </x:row>
    <x:row r="23">
      <x:c r="A23" s="26" t="n">
        <x:v>40</x:v>
      </x:c>
      <x:c r="B23" s="26" t="str">
        <x:v>Tier 3</x:v>
      </x:c>
      <x:c r="C23" s="26" t="str">
        <x:v>Decision/social neuroscience</x:v>
      </x:c>
      <x:c r="D23" s="26" t="str">
        <x:v>Theory/review paper</x:v>
      </x:c>
      <x:c r="E23" s="26" t="str">
        <x:v>Dual-Process and Decision-Making Under Uncertainty Literature Anchor</x:v>
      </x:c>
      <x:c r="F23" s="26" t="n">
        <x:v>2009</x:v>
      </x:c>
      <x:c r="G23" s="26" t="str">
        <x:v>Evans / Stanovich / Kahneman line</x:v>
      </x:c>
      <x:c r="H23" s="26" t="str">
        <x:v>Behavioral/cognitive theory</x:v>
      </x:c>
      <x:c r="I23" s="26" t="str">
        <x:v>Individual/social</x:v>
      </x:c>
      <x:c r="J23" s="26" t="str">
        <x:v>Uncertainty, reasoning, intuition/control</x:v>
      </x:c>
      <x:c r="K23" s="26" t="str">
        <x:v>Publication only</x:v>
      </x:c>
      <x:c r="L23" s="26" t="str"/>
      <x:c r="M23" s="26" t="str">
        <x:v>https://www.annualreviews.org/content/journals/10.1146/annurev-psych-122216-011832</x:v>
      </x:c>
      <x:c r="N23" s="26" t="str">
        <x:v>Needed theoretical anchor for ARL reasoning/confidence.</x:v>
      </x:c>
      <x:c r="O23" s="26" t="str">
        <x:v>Not dataset or physiology.</x:v>
      </x:c>
      <x:c r="P23" s="26" t="str">
        <x:v>Medium</x:v>
      </x:c>
      <x:c r="Q23" s="26" t="str">
        <x:v>To verify</x:v>
      </x:c>
      <x:c r="R23" s="26" t="str">
        <x:v>Replace with exact preferred paper later</x:v>
      </x:c>
    </x:row>
    <x:row r="24">
      <x:c r="A24" s="26" t="n">
        <x:v>41</x:v>
      </x:c>
      <x:c r="B24" s="26" t="str">
        <x:v>Tier 3</x:v>
      </x:c>
      <x:c r="C24" s="26" t="str">
        <x:v>Deception/social deduction</x:v>
      </x:c>
      <x:c r="D24" s="26" t="str">
        <x:v>Dataset paper</x:v>
      </x:c>
      <x:c r="E24" s="26" t="str">
        <x:v>Box of Lies: Multimodal Deception Detection in Dialogues</x:v>
      </x:c>
      <x:c r="F24" s="26" t="n">
        <x:v>2019</x:v>
      </x:c>
      <x:c r="G24" s="26" t="str">
        <x:v>Soldner et al.</x:v>
      </x:c>
      <x:c r="H24" s="26" t="str">
        <x:v>Dialogue; audio; video; nonverbal/verbal features</x:v>
      </x:c>
      <x:c r="I24" s="26" t="str">
        <x:v>Dyads</x:v>
      </x:c>
      <x:c r="J24" s="26" t="str">
        <x:v>Deception dialogue game</x:v>
      </x:c>
      <x:c r="K24" s="26" t="str">
        <x:v>Data on request</x:v>
      </x:c>
      <x:c r="L24" s="26" t="str">
        <x:v>https://web.eecs.umich.edu/~mihalcea/papers/soldner.naacl19.pdf</x:v>
      </x:c>
      <x:c r="M24" s="26" t="str">
        <x:v>https://web.eecs.umich.edu/~mihalcea/papers/soldner.naacl19.pdf</x:v>
      </x:c>
      <x:c r="N24" s="26" t="str">
        <x:v>Very relevant multimodal deception-in-dialogue dataset.</x:v>
      </x:c>
      <x:c r="O24" s="26" t="str">
        <x:v>No physiology; dyadic; smaller controlled game.</x:v>
      </x:c>
      <x:c r="P24" s="26" t="str">
        <x:v>High</x:v>
      </x:c>
      <x:c r="Q24" s="26" t="str">
        <x:v>To review</x:v>
      </x:c>
      <x:c r="R24" s="26" t="str">
        <x:v>Important for deception section</x:v>
      </x:c>
    </x:row>
    <x:row r="25">
      <x:c r="A25" s="26" t="n">
        <x:v>42</x:v>
      </x:c>
      <x:c r="B25" s="26" t="str">
        <x:v>Tier 3</x:v>
      </x:c>
      <x:c r="C25" s="26" t="str">
        <x:v>Deception/social deduction</x:v>
      </x:c>
      <x:c r="D25" s="26" t="str">
        <x:v>Dataset paper</x:v>
      </x:c>
      <x:c r="E25" s="26" t="str">
        <x:v>Bag-of-Lies: Multimodal Dataset for Deception Detection</x:v>
      </x:c>
      <x:c r="F25" s="26" t="n">
        <x:v>2019</x:v>
      </x:c>
      <x:c r="G25" s="26" t="str">
        <x:v>Gupta et al.</x:v>
      </x:c>
      <x:c r="H25" s="26" t="str">
        <x:v>EEG; video; audio?; behavioral/questionnaire depending release</x:v>
      </x:c>
      <x:c r="I25" s="26" t="str">
        <x:v>Individual/dyadic</x:v>
      </x:c>
      <x:c r="J25" s="26" t="str">
        <x:v>Casual deception scenarios</x:v>
      </x:c>
      <x:c r="K25" s="26" t="str">
        <x:v>Research access</x:v>
      </x:c>
      <x:c r="L25" s="26" t="str">
        <x:v>https://paperswithcode.com/dataset/bag-of-lies</x:v>
      </x:c>
      <x:c r="M25" s="26" t="str">
        <x:v>https://ieeexplore.ieee.org/document/8901672/</x:v>
      </x:c>
      <x:c r="N25" s="26" t="str">
        <x:v>Relevant because deception plus EEG appears together.</x:v>
      </x:c>
      <x:c r="O25" s="26" t="str">
        <x:v>Need verify modalities/access; not group social deduction.</x:v>
      </x:c>
      <x:c r="P25" s="26" t="str">
        <x:v>High</x:v>
      </x:c>
      <x:c r="Q25" s="26" t="str">
        <x:v>To verify</x:v>
      </x:c>
      <x:c r="R25" s="26" t="str">
        <x:v>Very important if accessible</x:v>
      </x:c>
    </x:row>
    <x:row r="26">
      <x:c r="A26" s="26" t="n">
        <x:v>43</x:v>
      </x:c>
      <x:c r="B26" s="26" t="str">
        <x:v>Tier 3</x:v>
      </x:c>
      <x:c r="C26" s="26" t="str">
        <x:v>Deception/social deduction</x:v>
      </x:c>
      <x:c r="D26" s="26" t="str">
        <x:v>Dataset paper</x:v>
      </x:c>
      <x:c r="E26" s="26" t="str">
        <x:v>EEG Dataset for Lie Detection Based on EEG Signals and Wavelets</x:v>
      </x:c>
      <x:c r="F26" s="26" t="n">
        <x:v>2024</x:v>
      </x:c>
      <x:c r="G26" s="26" t="str">
        <x:v>Mendeley Data</x:v>
      </x:c>
      <x:c r="H26" s="26" t="str">
        <x:v>EEG from Emotiv Insight</x:v>
      </x:c>
      <x:c r="I26" s="26" t="str">
        <x:v>Individual</x:v>
      </x:c>
      <x:c r="J26" s="26" t="str">
        <x:v>Lie/truth-telling bead-box task</x:v>
      </x:c>
      <x:c r="K26" s="26" t="str">
        <x:v>Public</x:v>
      </x:c>
      <x:c r="L26" s="26" t="str">
        <x:v>https://data.mendeley.com/datasets/5gzxb2bzs2</x:v>
      </x:c>
      <x:c r="M26" s="26" t="str">
        <x:v>https://data.mendeley.com/datasets/5gzxb2bzs2</x:v>
      </x:c>
      <x:c r="N26" s="26" t="str">
        <x:v>Useful because ARL uses Emotiv Insight and deception-relevant task.</x:v>
      </x:c>
      <x:c r="O26" s="26" t="str">
        <x:v>No group interaction/multimodal physiology.</x:v>
      </x:c>
      <x:c r="P26" s="26" t="str">
        <x:v>Medium</x:v>
      </x:c>
      <x:c r="Q26" s="26" t="str">
        <x:v>To review</x:v>
      </x:c>
      <x:c r="R26" s="26" t="str">
        <x:v>Good methods pilot reference</x:v>
      </x:c>
    </x:row>
    <x:row r="27">
      <x:c r="A27" s="26" t="n">
        <x:v>44</x:v>
      </x:c>
      <x:c r="B27" s="26" t="str">
        <x:v>Tier 3</x:v>
      </x:c>
      <x:c r="C27" s="26" t="str">
        <x:v>Deception/social deduction</x:v>
      </x:c>
      <x:c r="D27" s="26" t="str">
        <x:v>Research paper</x:v>
      </x:c>
      <x:c r="E27" s="26" t="str">
        <x:v>Werewolf Among Us: Multimodal Resources for Social Deduction</x:v>
      </x:c>
      <x:c r="F27" s="26" t="n">
        <x:v>2023</x:v>
      </x:c>
      <x:c r="G27" s="26" t="str">
        <x:v>Lai et al.</x:v>
      </x:c>
      <x:c r="H27" s="26" t="str">
        <x:v>Video; dialogue/text; game logs</x:v>
      </x:c>
      <x:c r="I27" s="26" t="str">
        <x:v>Groups</x:v>
      </x:c>
      <x:c r="J27" s="26" t="str">
        <x:v>One Night Ultimate Werewolf / Among Us</x:v>
      </x:c>
      <x:c r="K27" s="26" t="str">
        <x:v>Research/public depending subset</x:v>
      </x:c>
      <x:c r="L27" s="26" t="str"/>
      <x:c r="M27" s="26" t="str">
        <x:v>https://aclanthology.org/2023.findings-acl.411.pdf</x:v>
      </x:c>
      <x:c r="N27" s="26" t="str">
        <x:v>Closest social deduction/gameplay reference.</x:v>
      </x:c>
      <x:c r="O27" s="26" t="str">
        <x:v>No physiology; sourced from videos/games not lab acquisition.</x:v>
      </x:c>
      <x:c r="P27" s="26" t="str">
        <x:v>High</x:v>
      </x:c>
      <x:c r="Q27" s="26" t="str">
        <x:v>To review</x:v>
      </x:c>
      <x:c r="R27" s="26" t="str">
        <x:v>Important conceptual citation</x:v>
      </x:c>
    </x:row>
    <x:row r="28">
      <x:c r="A28" s="26" t="n">
        <x:v>45</x:v>
      </x:c>
      <x:c r="B28" s="26" t="str">
        <x:v>Tier 3</x:v>
      </x:c>
      <x:c r="C28" s="26" t="str">
        <x:v>Deception/social deduction</x:v>
      </x:c>
      <x:c r="D28" s="26" t="str">
        <x:v>Research paper</x:v>
      </x:c>
      <x:c r="E28" s="26" t="str">
        <x:v>Finding Deceivers in Social Context with Large Language Models</x:v>
      </x:c>
      <x:c r="F28" s="26" t="n">
        <x:v>2024</x:v>
      </x:c>
      <x:c r="G28" s="26" t="str">
        <x:v>Yoo et al.</x:v>
      </x:c>
      <x:c r="H28" s="26" t="str">
        <x:v>Conversation/text; game context</x:v>
      </x:c>
      <x:c r="I28" s="26" t="str">
        <x:v>Groups</x:v>
      </x:c>
      <x:c r="J28" s="26" t="str">
        <x:v>Mafia/social deduction</x:v>
      </x:c>
      <x:c r="K28" s="26" t="str">
        <x:v>Publication/data uncertain</x:v>
      </x:c>
      <x:c r="L28" s="26" t="str"/>
      <x:c r="M28" s="26" t="str">
        <x:v>https://www.nature.com/articles/s41598-024-81997-5</x:v>
      </x:c>
      <x:c r="N28" s="26" t="str">
        <x:v>Directly relevant to social-context deceiver detection.</x:v>
      </x:c>
      <x:c r="O28" s="26" t="str">
        <x:v>No physiology/acquisition platform.</x:v>
      </x:c>
      <x:c r="P28" s="26" t="str">
        <x:v>Medium</x:v>
      </x:c>
      <x:c r="Q28" s="26" t="str">
        <x:v>To review</x:v>
      </x:c>
      <x:c r="R28" s="26" t="str">
        <x:v>Good AI arbitration link</x:v>
      </x:c>
    </x:row>
    <x:row r="29">
      <x:c r="A29" s="26" t="n">
        <x:v>46</x:v>
      </x:c>
      <x:c r="B29" s="26" t="str">
        <x:v>Tier 3</x:v>
      </x:c>
      <x:c r="C29" s="26" t="str">
        <x:v>Deception/social deduction</x:v>
      </x:c>
      <x:c r="D29" s="26" t="str">
        <x:v>Dataset paper</x:v>
      </x:c>
      <x:c r="E29" s="26" t="str">
        <x:v>Diplomacy / Deception in Negotiation Dataset</x:v>
      </x:c>
      <x:c r="F29" s="26" t="n">
        <x:v>2020</x:v>
      </x:c>
      <x:c r="G29" s="26" t="str">
        <x:v>Peskov et al.</x:v>
      </x:c>
      <x:c r="H29" s="26" t="str">
        <x:v>Text dialogue; game logs</x:v>
      </x:c>
      <x:c r="I29" s="26" t="str">
        <x:v>Groups/players</x:v>
      </x:c>
      <x:c r="J29" s="26" t="str">
        <x:v>Diplomacy negotiation and deception</x:v>
      </x:c>
      <x:c r="K29" s="26" t="str">
        <x:v>Public/research</x:v>
      </x:c>
      <x:c r="L29" s="26" t="str">
        <x:v>https://sites.google.com/view/qanta/projects/diplomacy</x:v>
      </x:c>
      <x:c r="M29" s="26" t="str">
        <x:v>https://aclanthology.org/2020.acl-main.353/</x:v>
      </x:c>
      <x:c r="N29" s="26" t="str">
        <x:v>Useful for deception and strategic communication modeling.</x:v>
      </x:c>
      <x:c r="O29" s="26" t="str">
        <x:v>Text-only; no sensor data.</x:v>
      </x:c>
      <x:c r="P29" s="26" t="str">
        <x:v>Medium</x:v>
      </x:c>
      <x:c r="Q29" s="26" t="str">
        <x:v>To verify</x:v>
      </x:c>
      <x:c r="R29" s="26" t="str">
        <x:v>Useful for language features</x:v>
      </x:c>
    </x:row>
    <x:row r="30">
      <x:c r="A30" s="26" t="n">
        <x:v>47</x:v>
      </x:c>
      <x:c r="B30" s="26" t="str">
        <x:v>Tier 3</x:v>
      </x:c>
      <x:c r="C30" s="26" t="str">
        <x:v>Deception/social deduction</x:v>
      </x:c>
      <x:c r="D30" s="26" t="str">
        <x:v>Dataset paper</x:v>
      </x:c>
      <x:c r="E30" s="26" t="str">
        <x:v>Bayesian Social Deduction with Graph-Informed Language Models Dataset</x:v>
      </x:c>
      <x:c r="F30" s="26" t="n">
        <x:v>2025</x:v>
      </x:c>
      <x:c r="G30" s="26" t="str">
        <x:v>Rahimirad et al.</x:v>
      </x:c>
      <x:c r="H30" s="26" t="str">
        <x:v>Game logs; language; agents/humans</x:v>
      </x:c>
      <x:c r="I30" s="26" t="str">
        <x:v>Groups</x:v>
      </x:c>
      <x:c r="J30" s="26" t="str">
        <x:v>Avalon social deduction</x:v>
      </x:c>
      <x:c r="K30" s="26" t="str">
        <x:v>Public</x:v>
      </x:c>
      <x:c r="L30" s="26" t="str">
        <x:v>https://huggingface.co/datasets/shahabrahimirad/bayesian-social-deduction</x:v>
      </x:c>
      <x:c r="M30" s="26" t="str">
        <x:v>https://huggingface.co/datasets/shahabrahimirad/bayesian-social-deduction</x:v>
      </x:c>
      <x:c r="N30" s="26" t="str">
        <x:v>Recent social deduction dataset with strategic communication.</x:v>
      </x:c>
      <x:c r="O30" s="26" t="str">
        <x:v>No physiology; AI/game-log focus.</x:v>
      </x:c>
      <x:c r="P30" s="26" t="str">
        <x:v>Low</x:v>
      </x:c>
      <x:c r="Q30" s="26" t="str">
        <x:v>To verify</x:v>
      </x:c>
      <x:c r="R30" s="26" t="str">
        <x:v>Useful only for AI/deception framing</x:v>
      </x:c>
    </x:row>
    <x:row r="31">
      <x:c r="A31" s="26" t="n">
        <x:v>48</x:v>
      </x:c>
      <x:c r="B31" s="26" t="str">
        <x:v>Tier 3</x:v>
      </x:c>
      <x:c r="C31" s="26" t="str">
        <x:v>Deception/social deduction</x:v>
      </x:c>
      <x:c r="D31" s="26" t="str">
        <x:v>Research paper</x:v>
      </x:c>
      <x:c r="E31" s="26" t="str">
        <x:v>Evaluating LLMs in Social Deduction Games with Human Multimodal Werewolf Data</x:v>
      </x:c>
      <x:c r="F31" s="26" t="n">
        <x:v>2026</x:v>
      </x:c>
      <x:c r="G31" s="26" t="str">
        <x:v>Authors TBD</x:v>
      </x:c>
      <x:c r="H31" s="26" t="str">
        <x:v>Video; utterances; rule variants</x:v>
      </x:c>
      <x:c r="I31" s="26" t="str">
        <x:v>Groups</x:v>
      </x:c>
      <x:c r="J31" s="26" t="str">
        <x:v>Werewolf/social deduction</x:v>
      </x:c>
      <x:c r="K31" s="26" t="str">
        <x:v>Publication/data uncertain</x:v>
      </x:c>
      <x:c r="L31" s="26" t="str"/>
      <x:c r="M31" s="26" t="str">
        <x:v>https://arxiv.org/html/2510.11389v1</x:v>
      </x:c>
      <x:c r="N31" s="26" t="str">
        <x:v>Very relevant emerging multimodal social-deduction direction.</x:v>
      </x:c>
      <x:c r="O31" s="26" t="str">
        <x:v>Likely no physiology; needs verification due preprint status.</x:v>
      </x:c>
      <x:c r="P31" s="26" t="str">
        <x:v>Medium</x:v>
      </x:c>
      <x:c r="Q31" s="26" t="str">
        <x:v>To verify</x:v>
      </x:c>
      <x:c r="R31" s="26" t="str">
        <x:v>Recent field direction</x:v>
      </x:c>
    </x:row>
  </x:sheetData>
  <x:conditionalFormatting sqref="P2:P31">
    <x:cfRule type="expression" dxfId="9" priority="1">
      <x:formula>P2="Must read"</x:formula>
    </x:cfRule>
    <x:cfRule type="expression" dxfId="10" priority="2">
      <x:formula>P2="High"</x:formula>
    </x:cfRule>
  </x:conditionalFormatting>
  <x:conditionalFormatting sqref="Q2:Q31">
    <x:cfRule type="expression" dxfId="11" priority="3">
      <x:formula>Q2="To verify"</x:formula>
    </x:cfRule>
  </x:conditionalFormatting>
  <x:dataValidations count="2">
    <x:dataValidation type="list" sqref="P2:P31">
      <x:formula1>"Must read,High,Medium,Low"</x:formula1>
    </x:dataValidation>
    <x:dataValidation type="list" sqref="Q2:Q31">
      <x:formula1>"To review,Reviewed,To verify,Downloaded,Requested access,Not relevant"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9ea43ba869498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22" hidden="0" customWidth="1"/>
    <x:col min="4" max="4" width="18" hidden="0" customWidth="1"/>
    <x:col min="5" max="5" width="42" hidden="0" customWidth="1"/>
    <x:col min="6" max="6" width="8" hidden="0" customWidth="1"/>
    <x:col min="7" max="7" width="28" hidden="0" customWidth="1"/>
    <x:col min="8" max="8" width="34" hidden="0" customWidth="1"/>
    <x:col min="9" max="9" width="18" hidden="0" customWidth="1"/>
    <x:col min="10" max="10" width="28" hidden="0" customWidth="1"/>
    <x:col min="11" max="11" width="18" hidden="0" customWidth="1"/>
    <x:col min="12" max="12" width="38" hidden="0" customWidth="1"/>
    <x:col min="13" max="13" width="38" hidden="0" customWidth="1"/>
    <x:col min="14" max="14" width="42" hidden="0" customWidth="1"/>
    <x:col min="15" max="15" width="36" hidden="0" customWidth="1"/>
    <x:col min="16" max="16" width="12" hidden="0" customWidth="1"/>
    <x:col min="17" max="17" width="14" hidden="0" customWidth="1"/>
    <x:col min="18" max="18" width="28" hidden="0" customWidth="1"/>
  </x:cols>
  <x:sheetData>
    <x:row r="1" ht="36" customHeight="1">
      <x:c r="A1" s="20" t="str">
        <x:v>ID</x:v>
      </x:c>
      <x:c r="B1" s="20" t="str">
        <x:v>Tier</x:v>
      </x:c>
      <x:c r="C1" s="20" t="str">
        <x:v>Category</x:v>
      </x:c>
      <x:c r="D1" s="20" t="str">
        <x:v>Type</x:v>
      </x:c>
      <x:c r="E1" s="20" t="str">
        <x:v>Title / Dataset</x:v>
      </x:c>
      <x:c r="F1" s="20" t="str">
        <x:v>Year</x:v>
      </x:c>
      <x:c r="G1" s="20" t="str">
        <x:v>Primary Authors / Source</x:v>
      </x:c>
      <x:c r="H1" s="20" t="str">
        <x:v>Modalities / Signals</x:v>
      </x:c>
      <x:c r="I1" s="20" t="str">
        <x:v>Group Setting</x:v>
      </x:c>
      <x:c r="J1" s="20" t="str">
        <x:v>Task / Paradigm</x:v>
      </x:c>
      <x:c r="K1" s="20" t="str">
        <x:v>Access Status</x:v>
      </x:c>
      <x:c r="L1" s="20" t="str">
        <x:v>Dataset / Access URL</x:v>
      </x:c>
      <x:c r="M1" s="20" t="str">
        <x:v>Paper / Reference URL</x:v>
      </x:c>
      <x:c r="N1" s="20" t="str">
        <x:v>Why Relevant to ARL</x:v>
      </x:c>
      <x:c r="O1" s="20" t="str">
        <x:v>ARL Gap / Difference</x:v>
      </x:c>
      <x:c r="P1" s="20" t="str">
        <x:v>Priority</x:v>
      </x:c>
      <x:c r="Q1" s="20" t="str">
        <x:v>Status</x:v>
      </x:c>
      <x:c r="R1" s="20" t="str">
        <x:v>Notes</x:v>
      </x:c>
    </x:row>
    <x:row r="2">
      <x:c r="A2" s="26" t="n">
        <x:v>31</x:v>
      </x:c>
      <x:c r="B2" s="26" t="str">
        <x:v>Tier 3</x:v>
      </x:c>
      <x:c r="C2" s="26" t="str">
        <x:v>Decision/social neuroscience</x:v>
      </x:c>
      <x:c r="D2" s="26" t="str">
        <x:v>Review paper</x:v>
      </x:c>
      <x:c r="E2" s="26" t="str">
        <x:v>Hyperscanning: A Valid Method to Study Neural Inter-brain Underpinnings of Social Interaction</x:v>
      </x:c>
      <x:c r="F2" s="26" t="n">
        <x:v>2020</x:v>
      </x:c>
      <x:c r="G2" s="26" t="str">
        <x:v>Czeszumski et al.</x:v>
      </x:c>
      <x:c r="H2" s="26" t="str">
        <x:v>EEG/fNIRS/fMRI hyperscanning methods</x:v>
      </x:c>
      <x:c r="I2" s="26" t="str">
        <x:v>Dyads/groups</x:v>
      </x:c>
      <x:c r="J2" s="26" t="str">
        <x:v>Social interaction review</x:v>
      </x:c>
      <x:c r="K2" s="26" t="str">
        <x:v>Open</x:v>
      </x:c>
      <x:c r="L2" s="26" t="str">
        <x:v>https://www.frontiersin.org/articles/10.3389/fnhum.2020.00039/full</x:v>
      </x:c>
      <x:c r="M2" s="26" t="str">
        <x:v>https://www.frontiersin.org/articles/10.3389/fnhum.2020.00039/full</x:v>
      </x:c>
      <x:c r="N2" s="26" t="str">
        <x:v>Foundational hyperscanning methods and analysis reference.</x:v>
      </x:c>
      <x:c r="O2" s="26" t="str">
        <x:v>Not a dataset; broader than ARL.</x:v>
      </x:c>
      <x:c r="P2" s="26" t="str">
        <x:v>High</x:v>
      </x:c>
      <x:c r="Q2" s="26" t="str">
        <x:v>To review</x:v>
      </x:c>
      <x:c r="R2" s="26" t="str">
        <x:v>Use in theoretical framing</x:v>
      </x:c>
    </x:row>
    <x:row r="3">
      <x:c r="A3" s="26" t="n">
        <x:v>32</x:v>
      </x:c>
      <x:c r="B3" s="26" t="str">
        <x:v>Tier 3</x:v>
      </x:c>
      <x:c r="C3" s="26" t="str">
        <x:v>Decision/social neuroscience</x:v>
      </x:c>
      <x:c r="D3" s="26" t="str">
        <x:v>Review paper</x:v>
      </x:c>
      <x:c r="E3" s="26" t="str">
        <x:v>Review and Progress on EEG-Based Hyperscanning in Social Interactions</x:v>
      </x:c>
      <x:c r="F3" s="26" t="n">
        <x:v>2018</x:v>
      </x:c>
      <x:c r="G3" s="26" t="str">
        <x:v>Liu et al.</x:v>
      </x:c>
      <x:c r="H3" s="26" t="str">
        <x:v>EEG hyperscanning</x:v>
      </x:c>
      <x:c r="I3" s="26" t="str">
        <x:v>Dyads/groups</x:v>
      </x:c>
      <x:c r="J3" s="26" t="str">
        <x:v>Social interaction review</x:v>
      </x:c>
      <x:c r="K3" s="26" t="str">
        <x:v>Open</x:v>
      </x:c>
      <x:c r="L3" s="26" t="str">
        <x:v>https://pmc.ncbi.nlm.nih.gov/articles/PMC6186988/</x:v>
      </x:c>
      <x:c r="M3" s="26" t="str">
        <x:v>https://pmc.ncbi.nlm.nih.gov/articles/PMC6186988/</x:v>
      </x:c>
      <x:c r="N3" s="26" t="str">
        <x:v>Directly supports multi-person EEG framing.</x:v>
      </x:c>
      <x:c r="O3" s="26" t="str">
        <x:v>Not multimodal dataset-specific.</x:v>
      </x:c>
      <x:c r="P3" s="26" t="str">
        <x:v>High</x:v>
      </x:c>
      <x:c r="Q3" s="26" t="str">
        <x:v>To review</x:v>
      </x:c>
      <x:c r="R3" s="26" t="str">
        <x:v>Use for multi-brain rationale</x:v>
      </x:c>
    </x:row>
    <x:row r="4">
      <x:c r="A4" s="26" t="n">
        <x:v>33</x:v>
      </x:c>
      <x:c r="B4" s="26" t="str">
        <x:v>Tier 3</x:v>
      </x:c>
      <x:c r="C4" s="26" t="str">
        <x:v>Decision/social neuroscience</x:v>
      </x:c>
      <x:c r="D4" s="26" t="str">
        <x:v>Review paper</x:v>
      </x:c>
      <x:c r="E4" s="26" t="str">
        <x:v>Cooperation and Competition with Hyperscanning Methods</x:v>
      </x:c>
      <x:c r="F4" s="26" t="n">
        <x:v>2017</x:v>
      </x:c>
      <x:c r="G4" s="26" t="str">
        <x:v>Balconi &amp; Vanutelli</x:v>
      </x:c>
      <x:c r="H4" s="26" t="str">
        <x:v>EEG/fNIRS hyperscanning</x:v>
      </x:c>
      <x:c r="I4" s="26" t="str">
        <x:v>Dyads/groups</x:v>
      </x:c>
      <x:c r="J4" s="26" t="str">
        <x:v>Cooperation/competition review</x:v>
      </x:c>
      <x:c r="K4" s="26" t="str">
        <x:v>Open</x:v>
      </x:c>
      <x:c r="L4" s="26" t="str">
        <x:v>https://www.frontiersin.org/articles/10.3389/fncom.2017.00086/full</x:v>
      </x:c>
      <x:c r="M4" s="26" t="str">
        <x:v>https://www.frontiersin.org/articles/10.3389/fncom.2017.00086/full</x:v>
      </x:c>
      <x:c r="N4" s="26" t="str">
        <x:v>Relevant to cooperation/competition dynamics in spy game.</x:v>
      </x:c>
      <x:c r="O4" s="26" t="str">
        <x:v>Review only; no ARL-like multimodal release.</x:v>
      </x:c>
      <x:c r="P4" s="26" t="str">
        <x:v>Medium</x:v>
      </x:c>
      <x:c r="Q4" s="26" t="str">
        <x:v>To review</x:v>
      </x:c>
      <x:c r="R4" s="26" t="str">
        <x:v>Useful for discussion</x:v>
      </x:c>
    </x:row>
    <x:row r="5">
      <x:c r="A5" s="26" t="n">
        <x:v>34</x:v>
      </x:c>
      <x:c r="B5" s="26" t="str">
        <x:v>Tier 3</x:v>
      </x:c>
      <x:c r="C5" s="26" t="str">
        <x:v>Decision/social neuroscience</x:v>
      </x:c>
      <x:c r="D5" s="26" t="str">
        <x:v>Research paper</x:v>
      </x:c>
      <x:c r="E5" s="26" t="str">
        <x:v>Cortical Activity and Connectivity During Prisoner's Dilemma: An EEG Hyperscanning Study</x:v>
      </x:c>
      <x:c r="F5" s="26" t="n">
        <x:v>2007</x:v>
      </x:c>
      <x:c r="G5" s="26" t="str">
        <x:v>Babiloni et al.</x:v>
      </x:c>
      <x:c r="H5" s="26" t="str">
        <x:v>EEG hyperscanning</x:v>
      </x:c>
      <x:c r="I5" s="26" t="str">
        <x:v>Multiple participants</x:v>
      </x:c>
      <x:c r="J5" s="26" t="str">
        <x:v>Prisoner's dilemma</x:v>
      </x:c>
      <x:c r="K5" s="26" t="str">
        <x:v>Publication only</x:v>
      </x:c>
      <x:c r="L5" s="26" t="str"/>
      <x:c r="M5" s="26" t="str">
        <x:v>https://pubmed.ncbi.nlm.nih.gov/18003118/</x:v>
      </x:c>
      <x:c r="N5" s="26" t="str">
        <x:v>Classic EEG hyperscanning decision-making study.</x:v>
      </x:c>
      <x:c r="O5" s="26" t="str">
        <x:v>Not public multimodal dataset; no multimodal signals.</x:v>
      </x:c>
      <x:c r="P5" s="26" t="str">
        <x:v>High</x:v>
      </x:c>
      <x:c r="Q5" s="26" t="str">
        <x:v>To review</x:v>
      </x:c>
      <x:c r="R5" s="26" t="str">
        <x:v>Conceptually important</x:v>
      </x:c>
    </x:row>
    <x:row r="6">
      <x:c r="A6" s="26" t="n">
        <x:v>35</x:v>
      </x:c>
      <x:c r="B6" s="26" t="str">
        <x:v>Tier 3</x:v>
      </x:c>
      <x:c r="C6" s="26" t="str">
        <x:v>Decision/social neuroscience</x:v>
      </x:c>
      <x:c r="D6" s="26" t="str">
        <x:v>Dataset paper</x:v>
      </x:c>
      <x:c r="E6" s="26" t="str">
        <x:v>EEG-BIDS Three-Person Hyperscanning Prisoner's Dilemma Dataset</x:v>
      </x:c>
      <x:c r="F6" s="26" t="n">
        <x:v>2026</x:v>
      </x:c>
      <x:c r="G6" s="26" t="str">
        <x:v>OpenNeuro ds007822</x:v>
      </x:c>
      <x:c r="H6" s="26" t="str">
        <x:v>EEG; behavioral data</x:v>
      </x:c>
      <x:c r="I6" s="26" t="str">
        <x:v>Three-person groups/triads</x:v>
      </x:c>
      <x:c r="J6" s="26" t="str">
        <x:v>Prisoner's dilemma</x:v>
      </x:c>
      <x:c r="K6" s="26" t="str">
        <x:v>Public</x:v>
      </x:c>
      <x:c r="L6" s="26" t="str">
        <x:v>https://openneuro.org/datasets/ds007822/versions/1.0.0</x:v>
      </x:c>
      <x:c r="M6" s="26" t="str">
        <x:v>https://openneuro.org/datasets/ds007822/versions/1.0.0</x:v>
      </x:c>
      <x:c r="N6" s="26" t="str">
        <x:v>Very close on group decision + EEG hyperscanning.</x:v>
      </x:c>
      <x:c r="O6" s="26" t="str">
        <x:v>No multimodal physiology/audio/video/eye tracking; 3 not 5 people.</x:v>
      </x:c>
      <x:c r="P6" s="26" t="str">
        <x:v>High</x:v>
      </x:c>
      <x:c r="Q6" s="26" t="str">
        <x:v>To review</x:v>
      </x:c>
      <x:c r="R6" s="26" t="str">
        <x:v>Important ARL comparison</x:v>
      </x:c>
    </x:row>
    <x:row r="7">
      <x:c r="A7" s="26" t="n">
        <x:v>36</x:v>
      </x:c>
      <x:c r="B7" s="26" t="str">
        <x:v>Tier 3</x:v>
      </x:c>
      <x:c r="C7" s="26" t="str">
        <x:v>Decision/social neuroscience</x:v>
      </x:c>
      <x:c r="D7" s="26" t="str">
        <x:v>Research paper</x:v>
      </x:c>
      <x:c r="E7" s="26" t="str">
        <x:v>EEG Hyperscanning Reveals Dynamic Interbrain Network Reorganization During Social Decision-Making</x:v>
      </x:c>
      <x:c r="F7" s="26" t="n">
        <x:v>2026</x:v>
      </x:c>
      <x:c r="G7" s="26" t="str">
        <x:v>Li et al.</x:v>
      </x:c>
      <x:c r="H7" s="26" t="str">
        <x:v>EEG hyperscanning</x:v>
      </x:c>
      <x:c r="I7" s="26" t="str">
        <x:v>Dyads/groups depending task</x:v>
      </x:c>
      <x:c r="J7" s="26" t="str">
        <x:v>Social decision-making</x:v>
      </x:c>
      <x:c r="K7" s="26" t="str">
        <x:v>Publication only</x:v>
      </x:c>
      <x:c r="L7" s="26" t="str"/>
      <x:c r="M7" s="26" t="str">
        <x:v>https://www.nature.com/articles/s42003-026-09852-z</x:v>
      </x:c>
      <x:c r="N7" s="26" t="str">
        <x:v>Recent social decision EEG hyperscanning paper.</x:v>
      </x:c>
      <x:c r="O7" s="26" t="str">
        <x:v>Not dataset/platform-focused; exact access to data uncertain.</x:v>
      </x:c>
      <x:c r="P7" s="26" t="str">
        <x:v>Medium</x:v>
      </x:c>
      <x:c r="Q7" s="26" t="str">
        <x:v>To review</x:v>
      </x:c>
      <x:c r="R7" s="26" t="str">
        <x:v>Modern theoretical reference</x:v>
      </x:c>
    </x:row>
    <x:row r="8">
      <x:c r="A8" s="26" t="n">
        <x:v>37</x:v>
      </x:c>
      <x:c r="B8" s="26" t="str">
        <x:v>Tier 3</x:v>
      </x:c>
      <x:c r="C8" s="26" t="str">
        <x:v>Decision/social neuroscience</x:v>
      </x:c>
      <x:c r="D8" s="26" t="str">
        <x:v>Dataset paper</x:v>
      </x:c>
      <x:c r="E8" s="26" t="str">
        <x:v>An EEG Dataset of Neural Signatures in a Competitive Two-Player Card Game</x:v>
      </x:c>
      <x:c r="F8" s="26" t="n">
        <x:v>2024</x:v>
      </x:c>
      <x:c r="G8" s="26" t="str">
        <x:v>Chen et al.</x:v>
      </x:c>
      <x:c r="H8" s="26" t="str">
        <x:v>EEG; behavioral data</x:v>
      </x:c>
      <x:c r="I8" s="26" t="str">
        <x:v>Two-player</x:v>
      </x:c>
      <x:c r="J8" s="26" t="str">
        <x:v>Competitive card game / deception</x:v>
      </x:c>
      <x:c r="K8" s="26" t="str">
        <x:v>Public/Scientific Data</x:v>
      </x:c>
      <x:c r="L8" s="26" t="str">
        <x:v>https://www.nature.com/articles/s41597-024-03234-y</x:v>
      </x:c>
      <x:c r="M8" s="26" t="str">
        <x:v>https://www.nature.com/articles/s41597-024-03234-y</x:v>
      </x:c>
      <x:c r="N8" s="26" t="str">
        <x:v>Highly relevant deception/competition EEG dataset.</x:v>
      </x:c>
      <x:c r="O8" s="26" t="str">
        <x:v>Dyadic; no ECG/GSR/EMG/eye/audio/video group capture.</x:v>
      </x:c>
      <x:c r="P8" s="26" t="str">
        <x:v>High</x:v>
      </x:c>
      <x:c r="Q8" s="26" t="str">
        <x:v>To review</x:v>
      </x:c>
      <x:c r="R8" s="26" t="str">
        <x:v>Strong ARL novelty comparison</x:v>
      </x:c>
    </x:row>
    <x:row r="9">
      <x:c r="A9" s="26" t="n">
        <x:v>38</x:v>
      </x:c>
      <x:c r="B9" s="26" t="str">
        <x:v>Tier 3</x:v>
      </x:c>
      <x:c r="C9" s="26" t="str">
        <x:v>Decision/social neuroscience</x:v>
      </x:c>
      <x:c r="D9" s="26" t="str">
        <x:v>Dataset paper</x:v>
      </x:c>
      <x:c r="E9" s="26" t="str">
        <x:v>IllusionGameEEG Dataset</x:v>
      </x:c>
      <x:c r="F9" s="26" t="n">
        <x:v>2023</x:v>
      </x:c>
      <x:c r="G9" s="26" t="str">
        <x:v>OpenNeuro ds004587</x:v>
      </x:c>
      <x:c r="H9" s="26" t="str">
        <x:v>EEG; physiological; behavioral data</x:v>
      </x:c>
      <x:c r="I9" s="26" t="str">
        <x:v>Individual</x:v>
      </x:c>
      <x:c r="J9" s="26" t="str">
        <x:v>Illusion/game-like cognitive task</x:v>
      </x:c>
      <x:c r="K9" s="26" t="str">
        <x:v>Public</x:v>
      </x:c>
      <x:c r="L9" s="26" t="str">
        <x:v>https://openneuro.org/datasets/ds004587/versions/1.0.0</x:v>
      </x:c>
      <x:c r="M9" s="26" t="str">
        <x:v>https://openneuro.org/datasets/ds004587/versions/1.0.0</x:v>
      </x:c>
      <x:c r="N9" s="26" t="str">
        <x:v>EEG + physiology + behavioral data in game-like task.</x:v>
      </x:c>
      <x:c r="O9" s="26" t="str">
        <x:v>No group interaction/social deduction.</x:v>
      </x:c>
      <x:c r="P9" s="26" t="str">
        <x:v>Medium</x:v>
      </x:c>
      <x:c r="Q9" s="26" t="str">
        <x:v>To verify</x:v>
      </x:c>
      <x:c r="R9" s="26" t="str">
        <x:v>Potential methods comparison</x:v>
      </x:c>
    </x:row>
    <x:row r="10">
      <x:c r="A10" s="26" t="n">
        <x:v>39</x:v>
      </x:c>
      <x:c r="B10" s="26" t="str">
        <x:v>Tier 3</x:v>
      </x:c>
      <x:c r="C10" s="26" t="str">
        <x:v>Decision/social neuroscience</x:v>
      </x:c>
      <x:c r="D10" s="26" t="str">
        <x:v>Research paper</x:v>
      </x:c>
      <x:c r="E10" s="26" t="str">
        <x:v>Neural Decoding of Competitive Decision-Making in Rock–Paper–Scissors</x:v>
      </x:c>
      <x:c r="F10" s="26" t="n">
        <x:v>2025</x:v>
      </x:c>
      <x:c r="G10" s="26" t="str">
        <x:v>Moerel et al.</x:v>
      </x:c>
      <x:c r="H10" s="26" t="str">
        <x:v>EEG hyperscanning</x:v>
      </x:c>
      <x:c r="I10" s="26" t="str">
        <x:v>Dyads</x:v>
      </x:c>
      <x:c r="J10" s="26" t="str">
        <x:v>Competitive Rock-Paper-Scissors</x:v>
      </x:c>
      <x:c r="K10" s="26" t="str">
        <x:v>Publication only</x:v>
      </x:c>
      <x:c r="L10" s="26" t="str"/>
      <x:c r="M10" s="26" t="str">
        <x:v>https://boa.unimib.it/retrieve/77d8308f-f97c-4d5d-ad41-f4b1967f573c/Moerel%20et%20al-2025-Social%20Cognitive%20and%20Affective%20Neuroscience-VoR.pdf</x:v>
      </x:c>
      <x:c r="N10" s="26" t="str">
        <x:v>Recent competitive decision EEG hyperscanning reference.</x:v>
      </x:c>
      <x:c r="O10" s="26" t="str">
        <x:v>No full multimodal dataset; dyads only.</x:v>
      </x:c>
      <x:c r="P10" s="26" t="str">
        <x:v>Medium</x:v>
      </x:c>
      <x:c r="Q10" s="26" t="str">
        <x:v>To review</x:v>
      </x:c>
      <x:c r="R10" s="26" t="str">
        <x:v>Useful for classifier framing</x:v>
      </x:c>
    </x:row>
    <x:row r="11">
      <x:c r="A11" s="26" t="n">
        <x:v>40</x:v>
      </x:c>
      <x:c r="B11" s="26" t="str">
        <x:v>Tier 3</x:v>
      </x:c>
      <x:c r="C11" s="26" t="str">
        <x:v>Decision/social neuroscience</x:v>
      </x:c>
      <x:c r="D11" s="26" t="str">
        <x:v>Theory/review paper</x:v>
      </x:c>
      <x:c r="E11" s="26" t="str">
        <x:v>Dual-Process and Decision-Making Under Uncertainty Literature Anchor</x:v>
      </x:c>
      <x:c r="F11" s="26" t="n">
        <x:v>2009</x:v>
      </x:c>
      <x:c r="G11" s="26" t="str">
        <x:v>Evans / Stanovich / Kahneman line</x:v>
      </x:c>
      <x:c r="H11" s="26" t="str">
        <x:v>Behavioral/cognitive theory</x:v>
      </x:c>
      <x:c r="I11" s="26" t="str">
        <x:v>Individual/social</x:v>
      </x:c>
      <x:c r="J11" s="26" t="str">
        <x:v>Uncertainty, reasoning, intuition/control</x:v>
      </x:c>
      <x:c r="K11" s="26" t="str">
        <x:v>Publication only</x:v>
      </x:c>
      <x:c r="L11" s="26" t="str"/>
      <x:c r="M11" s="26" t="str">
        <x:v>https://www.annualreviews.org/content/journals/10.1146/annurev-psych-122216-011832</x:v>
      </x:c>
      <x:c r="N11" s="26" t="str">
        <x:v>Needed theoretical anchor for ARL reasoning/confidence.</x:v>
      </x:c>
      <x:c r="O11" s="26" t="str">
        <x:v>Not dataset or physiology.</x:v>
      </x:c>
      <x:c r="P11" s="26" t="str">
        <x:v>Medium</x:v>
      </x:c>
      <x:c r="Q11" s="26" t="str">
        <x:v>To verify</x:v>
      </x:c>
      <x:c r="R11" s="26" t="str">
        <x:v>Replace with exact preferred paper later</x:v>
      </x:c>
    </x:row>
    <x:row r="12">
      <x:c r="A12" s="26" t="n">
        <x:v>41</x:v>
      </x:c>
      <x:c r="B12" s="26" t="str">
        <x:v>Tier 3</x:v>
      </x:c>
      <x:c r="C12" s="26" t="str">
        <x:v>Deception/social deduction</x:v>
      </x:c>
      <x:c r="D12" s="26" t="str">
        <x:v>Dataset paper</x:v>
      </x:c>
      <x:c r="E12" s="26" t="str">
        <x:v>Box of Lies: Multimodal Deception Detection in Dialogues</x:v>
      </x:c>
      <x:c r="F12" s="26" t="n">
        <x:v>2019</x:v>
      </x:c>
      <x:c r="G12" s="26" t="str">
        <x:v>Soldner et al.</x:v>
      </x:c>
      <x:c r="H12" s="26" t="str">
        <x:v>Dialogue; audio; video; nonverbal/verbal features</x:v>
      </x:c>
      <x:c r="I12" s="26" t="str">
        <x:v>Dyads</x:v>
      </x:c>
      <x:c r="J12" s="26" t="str">
        <x:v>Deception dialogue game</x:v>
      </x:c>
      <x:c r="K12" s="26" t="str">
        <x:v>Data on request</x:v>
      </x:c>
      <x:c r="L12" s="26" t="str">
        <x:v>https://web.eecs.umich.edu/~mihalcea/papers/soldner.naacl19.pdf</x:v>
      </x:c>
      <x:c r="M12" s="26" t="str">
        <x:v>https://web.eecs.umich.edu/~mihalcea/papers/soldner.naacl19.pdf</x:v>
      </x:c>
      <x:c r="N12" s="26" t="str">
        <x:v>Very relevant multimodal deception-in-dialogue dataset.</x:v>
      </x:c>
      <x:c r="O12" s="26" t="str">
        <x:v>No physiology; dyadic; smaller controlled game.</x:v>
      </x:c>
      <x:c r="P12" s="26" t="str">
        <x:v>High</x:v>
      </x:c>
      <x:c r="Q12" s="26" t="str">
        <x:v>To review</x:v>
      </x:c>
      <x:c r="R12" s="26" t="str">
        <x:v>Important for deception section</x:v>
      </x:c>
    </x:row>
    <x:row r="13">
      <x:c r="A13" s="26" t="n">
        <x:v>42</x:v>
      </x:c>
      <x:c r="B13" s="26" t="str">
        <x:v>Tier 3</x:v>
      </x:c>
      <x:c r="C13" s="26" t="str">
        <x:v>Deception/social deduction</x:v>
      </x:c>
      <x:c r="D13" s="26" t="str">
        <x:v>Dataset paper</x:v>
      </x:c>
      <x:c r="E13" s="26" t="str">
        <x:v>Bag-of-Lies: Multimodal Dataset for Deception Detection</x:v>
      </x:c>
      <x:c r="F13" s="26" t="n">
        <x:v>2019</x:v>
      </x:c>
      <x:c r="G13" s="26" t="str">
        <x:v>Gupta et al.</x:v>
      </x:c>
      <x:c r="H13" s="26" t="str">
        <x:v>EEG; video; audio?; behavioral/questionnaire depending release</x:v>
      </x:c>
      <x:c r="I13" s="26" t="str">
        <x:v>Individual/dyadic</x:v>
      </x:c>
      <x:c r="J13" s="26" t="str">
        <x:v>Casual deception scenarios</x:v>
      </x:c>
      <x:c r="K13" s="26" t="str">
        <x:v>Research access</x:v>
      </x:c>
      <x:c r="L13" s="26" t="str">
        <x:v>https://paperswithcode.com/dataset/bag-of-lies</x:v>
      </x:c>
      <x:c r="M13" s="26" t="str">
        <x:v>https://ieeexplore.ieee.org/document/8901672/</x:v>
      </x:c>
      <x:c r="N13" s="26" t="str">
        <x:v>Relevant because deception plus EEG appears together.</x:v>
      </x:c>
      <x:c r="O13" s="26" t="str">
        <x:v>Need verify modalities/access; not group social deduction.</x:v>
      </x:c>
      <x:c r="P13" s="26" t="str">
        <x:v>High</x:v>
      </x:c>
      <x:c r="Q13" s="26" t="str">
        <x:v>To verify</x:v>
      </x:c>
      <x:c r="R13" s="26" t="str">
        <x:v>Very important if accessible</x:v>
      </x:c>
    </x:row>
    <x:row r="14">
      <x:c r="A14" s="26" t="n">
        <x:v>43</x:v>
      </x:c>
      <x:c r="B14" s="26" t="str">
        <x:v>Tier 3</x:v>
      </x:c>
      <x:c r="C14" s="26" t="str">
        <x:v>Deception/social deduction</x:v>
      </x:c>
      <x:c r="D14" s="26" t="str">
        <x:v>Dataset paper</x:v>
      </x:c>
      <x:c r="E14" s="26" t="str">
        <x:v>EEG Dataset for Lie Detection Based on EEG Signals and Wavelets</x:v>
      </x:c>
      <x:c r="F14" s="26" t="n">
        <x:v>2024</x:v>
      </x:c>
      <x:c r="G14" s="26" t="str">
        <x:v>Mendeley Data</x:v>
      </x:c>
      <x:c r="H14" s="26" t="str">
        <x:v>EEG from Emotiv Insight</x:v>
      </x:c>
      <x:c r="I14" s="26" t="str">
        <x:v>Individual</x:v>
      </x:c>
      <x:c r="J14" s="26" t="str">
        <x:v>Lie/truth-telling bead-box task</x:v>
      </x:c>
      <x:c r="K14" s="26" t="str">
        <x:v>Public</x:v>
      </x:c>
      <x:c r="L14" s="26" t="str">
        <x:v>https://data.mendeley.com/datasets/5gzxb2bzs2</x:v>
      </x:c>
      <x:c r="M14" s="26" t="str">
        <x:v>https://data.mendeley.com/datasets/5gzxb2bzs2</x:v>
      </x:c>
      <x:c r="N14" s="26" t="str">
        <x:v>Useful because ARL uses Emotiv Insight and deception-relevant task.</x:v>
      </x:c>
      <x:c r="O14" s="26" t="str">
        <x:v>No group interaction/multimodal physiology.</x:v>
      </x:c>
      <x:c r="P14" s="26" t="str">
        <x:v>Medium</x:v>
      </x:c>
      <x:c r="Q14" s="26" t="str">
        <x:v>To review</x:v>
      </x:c>
      <x:c r="R14" s="26" t="str">
        <x:v>Good methods pilot reference</x:v>
      </x:c>
    </x:row>
    <x:row r="15">
      <x:c r="A15" s="26" t="n">
        <x:v>44</x:v>
      </x:c>
      <x:c r="B15" s="26" t="str">
        <x:v>Tier 3</x:v>
      </x:c>
      <x:c r="C15" s="26" t="str">
        <x:v>Deception/social deduction</x:v>
      </x:c>
      <x:c r="D15" s="26" t="str">
        <x:v>Research paper</x:v>
      </x:c>
      <x:c r="E15" s="26" t="str">
        <x:v>Werewolf Among Us: Multimodal Resources for Social Deduction</x:v>
      </x:c>
      <x:c r="F15" s="26" t="n">
        <x:v>2023</x:v>
      </x:c>
      <x:c r="G15" s="26" t="str">
        <x:v>Lai et al.</x:v>
      </x:c>
      <x:c r="H15" s="26" t="str">
        <x:v>Video; dialogue/text; game logs</x:v>
      </x:c>
      <x:c r="I15" s="26" t="str">
        <x:v>Groups</x:v>
      </x:c>
      <x:c r="J15" s="26" t="str">
        <x:v>One Night Ultimate Werewolf / Among Us</x:v>
      </x:c>
      <x:c r="K15" s="26" t="str">
        <x:v>Research/public depending subset</x:v>
      </x:c>
      <x:c r="L15" s="26" t="str"/>
      <x:c r="M15" s="26" t="str">
        <x:v>https://aclanthology.org/2023.findings-acl.411.pdf</x:v>
      </x:c>
      <x:c r="N15" s="26" t="str">
        <x:v>Closest social deduction/gameplay reference.</x:v>
      </x:c>
      <x:c r="O15" s="26" t="str">
        <x:v>No physiology; sourced from videos/games not lab acquisition.</x:v>
      </x:c>
      <x:c r="P15" s="26" t="str">
        <x:v>High</x:v>
      </x:c>
      <x:c r="Q15" s="26" t="str">
        <x:v>To review</x:v>
      </x:c>
      <x:c r="R15" s="26" t="str">
        <x:v>Important conceptual citation</x:v>
      </x:c>
    </x:row>
    <x:row r="16">
      <x:c r="A16" s="26" t="n">
        <x:v>45</x:v>
      </x:c>
      <x:c r="B16" s="26" t="str">
        <x:v>Tier 3</x:v>
      </x:c>
      <x:c r="C16" s="26" t="str">
        <x:v>Deception/social deduction</x:v>
      </x:c>
      <x:c r="D16" s="26" t="str">
        <x:v>Research paper</x:v>
      </x:c>
      <x:c r="E16" s="26" t="str">
        <x:v>Finding Deceivers in Social Context with Large Language Models</x:v>
      </x:c>
      <x:c r="F16" s="26" t="n">
        <x:v>2024</x:v>
      </x:c>
      <x:c r="G16" s="26" t="str">
        <x:v>Yoo et al.</x:v>
      </x:c>
      <x:c r="H16" s="26" t="str">
        <x:v>Conversation/text; game context</x:v>
      </x:c>
      <x:c r="I16" s="26" t="str">
        <x:v>Groups</x:v>
      </x:c>
      <x:c r="J16" s="26" t="str">
        <x:v>Mafia/social deduction</x:v>
      </x:c>
      <x:c r="K16" s="26" t="str">
        <x:v>Publication/data uncertain</x:v>
      </x:c>
      <x:c r="L16" s="26" t="str"/>
      <x:c r="M16" s="26" t="str">
        <x:v>https://www.nature.com/articles/s41598-024-81997-5</x:v>
      </x:c>
      <x:c r="N16" s="26" t="str">
        <x:v>Directly relevant to social-context deceiver detection.</x:v>
      </x:c>
      <x:c r="O16" s="26" t="str">
        <x:v>No physiology/acquisition platform.</x:v>
      </x:c>
      <x:c r="P16" s="26" t="str">
        <x:v>Medium</x:v>
      </x:c>
      <x:c r="Q16" s="26" t="str">
        <x:v>To review</x:v>
      </x:c>
      <x:c r="R16" s="26" t="str">
        <x:v>Good AI arbitration link</x:v>
      </x:c>
    </x:row>
    <x:row r="17">
      <x:c r="A17" s="26" t="n">
        <x:v>46</x:v>
      </x:c>
      <x:c r="B17" s="26" t="str">
        <x:v>Tier 3</x:v>
      </x:c>
      <x:c r="C17" s="26" t="str">
        <x:v>Deception/social deduction</x:v>
      </x:c>
      <x:c r="D17" s="26" t="str">
        <x:v>Dataset paper</x:v>
      </x:c>
      <x:c r="E17" s="26" t="str">
        <x:v>Diplomacy / Deception in Negotiation Dataset</x:v>
      </x:c>
      <x:c r="F17" s="26" t="n">
        <x:v>2020</x:v>
      </x:c>
      <x:c r="G17" s="26" t="str">
        <x:v>Peskov et al.</x:v>
      </x:c>
      <x:c r="H17" s="26" t="str">
        <x:v>Text dialogue; game logs</x:v>
      </x:c>
      <x:c r="I17" s="26" t="str">
        <x:v>Groups/players</x:v>
      </x:c>
      <x:c r="J17" s="26" t="str">
        <x:v>Diplomacy negotiation and deception</x:v>
      </x:c>
      <x:c r="K17" s="26" t="str">
        <x:v>Public/research</x:v>
      </x:c>
      <x:c r="L17" s="26" t="str">
        <x:v>https://sites.google.com/view/qanta/projects/diplomacy</x:v>
      </x:c>
      <x:c r="M17" s="26" t="str">
        <x:v>https://aclanthology.org/2020.acl-main.353/</x:v>
      </x:c>
      <x:c r="N17" s="26" t="str">
        <x:v>Useful for deception and strategic communication modeling.</x:v>
      </x:c>
      <x:c r="O17" s="26" t="str">
        <x:v>Text-only; no sensor data.</x:v>
      </x:c>
      <x:c r="P17" s="26" t="str">
        <x:v>Medium</x:v>
      </x:c>
      <x:c r="Q17" s="26" t="str">
        <x:v>To verify</x:v>
      </x:c>
      <x:c r="R17" s="26" t="str">
        <x:v>Useful for language features</x:v>
      </x:c>
    </x:row>
    <x:row r="18">
      <x:c r="A18" s="26" t="n">
        <x:v>47</x:v>
      </x:c>
      <x:c r="B18" s="26" t="str">
        <x:v>Tier 3</x:v>
      </x:c>
      <x:c r="C18" s="26" t="str">
        <x:v>Deception/social deduction</x:v>
      </x:c>
      <x:c r="D18" s="26" t="str">
        <x:v>Dataset paper</x:v>
      </x:c>
      <x:c r="E18" s="26" t="str">
        <x:v>Bayesian Social Deduction with Graph-Informed Language Models Dataset</x:v>
      </x:c>
      <x:c r="F18" s="26" t="n">
        <x:v>2025</x:v>
      </x:c>
      <x:c r="G18" s="26" t="str">
        <x:v>Rahimirad et al.</x:v>
      </x:c>
      <x:c r="H18" s="26" t="str">
        <x:v>Game logs; language; agents/humans</x:v>
      </x:c>
      <x:c r="I18" s="26" t="str">
        <x:v>Groups</x:v>
      </x:c>
      <x:c r="J18" s="26" t="str">
        <x:v>Avalon social deduction</x:v>
      </x:c>
      <x:c r="K18" s="26" t="str">
        <x:v>Public</x:v>
      </x:c>
      <x:c r="L18" s="26" t="str">
        <x:v>https://huggingface.co/datasets/shahabrahimirad/bayesian-social-deduction</x:v>
      </x:c>
      <x:c r="M18" s="26" t="str">
        <x:v>https://huggingface.co/datasets/shahabrahimirad/bayesian-social-deduction</x:v>
      </x:c>
      <x:c r="N18" s="26" t="str">
        <x:v>Recent social deduction dataset with strategic communication.</x:v>
      </x:c>
      <x:c r="O18" s="26" t="str">
        <x:v>No physiology; AI/game-log focus.</x:v>
      </x:c>
      <x:c r="P18" s="26" t="str">
        <x:v>Low</x:v>
      </x:c>
      <x:c r="Q18" s="26" t="str">
        <x:v>To verify</x:v>
      </x:c>
      <x:c r="R18" s="26" t="str">
        <x:v>Useful only for AI/deception framing</x:v>
      </x:c>
    </x:row>
    <x:row r="19">
      <x:c r="A19" s="26" t="n">
        <x:v>48</x:v>
      </x:c>
      <x:c r="B19" s="26" t="str">
        <x:v>Tier 3</x:v>
      </x:c>
      <x:c r="C19" s="26" t="str">
        <x:v>Deception/social deduction</x:v>
      </x:c>
      <x:c r="D19" s="26" t="str">
        <x:v>Research paper</x:v>
      </x:c>
      <x:c r="E19" s="26" t="str">
        <x:v>Evaluating LLMs in Social Deduction Games with Human Multimodal Werewolf Data</x:v>
      </x:c>
      <x:c r="F19" s="26" t="n">
        <x:v>2026</x:v>
      </x:c>
      <x:c r="G19" s="26" t="str">
        <x:v>Authors TBD</x:v>
      </x:c>
      <x:c r="H19" s="26" t="str">
        <x:v>Video; utterances; rule variants</x:v>
      </x:c>
      <x:c r="I19" s="26" t="str">
        <x:v>Groups</x:v>
      </x:c>
      <x:c r="J19" s="26" t="str">
        <x:v>Werewolf/social deduction</x:v>
      </x:c>
      <x:c r="K19" s="26" t="str">
        <x:v>Publication/data uncertain</x:v>
      </x:c>
      <x:c r="L19" s="26" t="str"/>
      <x:c r="M19" s="26" t="str">
        <x:v>https://arxiv.org/html/2510.11389v1</x:v>
      </x:c>
      <x:c r="N19" s="26" t="str">
        <x:v>Very relevant emerging multimodal social-deduction direction.</x:v>
      </x:c>
      <x:c r="O19" s="26" t="str">
        <x:v>Likely no physiology; needs verification due preprint status.</x:v>
      </x:c>
      <x:c r="P19" s="26" t="str">
        <x:v>Medium</x:v>
      </x:c>
      <x:c r="Q19" s="26" t="str">
        <x:v>To verify</x:v>
      </x:c>
      <x:c r="R19" s="26" t="str">
        <x:v>Recent field direction</x:v>
      </x:c>
    </x:row>
  </x:sheetData>
  <x:conditionalFormatting sqref="P2:P19">
    <x:cfRule type="expression" dxfId="12" priority="1">
      <x:formula>P2="Must read"</x:formula>
    </x:cfRule>
    <x:cfRule type="expression" dxfId="13" priority="2">
      <x:formula>P2="High"</x:formula>
    </x:cfRule>
  </x:conditionalFormatting>
  <x:conditionalFormatting sqref="Q2:Q19">
    <x:cfRule type="expression" dxfId="14" priority="3">
      <x:formula>Q2="To verify"</x:formula>
    </x:cfRule>
  </x:conditionalFormatting>
  <x:dataValidations count="2">
    <x:dataValidation type="list" sqref="P2:P19">
      <x:formula1>"Must read,High,Medium,Low"</x:formula1>
    </x:dataValidation>
    <x:dataValidation type="list" sqref="Q2:Q19">
      <x:formula1>"To review,Reviewed,To verify,Downloaded,Requested access,Not relevant"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32a270262a41f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22" hidden="0" customWidth="1"/>
    <x:col min="4" max="4" width="18" hidden="0" customWidth="1"/>
    <x:col min="5" max="5" width="42" hidden="0" customWidth="1"/>
    <x:col min="6" max="6" width="8" hidden="0" customWidth="1"/>
    <x:col min="7" max="7" width="28" hidden="0" customWidth="1"/>
    <x:col min="8" max="8" width="34" hidden="0" customWidth="1"/>
    <x:col min="9" max="9" width="18" hidden="0" customWidth="1"/>
    <x:col min="10" max="10" width="28" hidden="0" customWidth="1"/>
    <x:col min="11" max="11" width="18" hidden="0" customWidth="1"/>
    <x:col min="12" max="12" width="38" hidden="0" customWidth="1"/>
    <x:col min="13" max="13" width="38" hidden="0" customWidth="1"/>
    <x:col min="14" max="14" width="42" hidden="0" customWidth="1"/>
    <x:col min="15" max="15" width="36" hidden="0" customWidth="1"/>
    <x:col min="16" max="16" width="12" hidden="0" customWidth="1"/>
    <x:col min="17" max="17" width="14" hidden="0" customWidth="1"/>
    <x:col min="18" max="18" width="28" hidden="0" customWidth="1"/>
  </x:cols>
  <x:sheetData>
    <x:row r="1" ht="36" customHeight="1">
      <x:c r="A1" s="20" t="str">
        <x:v>ID</x:v>
      </x:c>
      <x:c r="B1" s="20" t="str">
        <x:v>Tier</x:v>
      </x:c>
      <x:c r="C1" s="20" t="str">
        <x:v>Category</x:v>
      </x:c>
      <x:c r="D1" s="20" t="str">
        <x:v>Type</x:v>
      </x:c>
      <x:c r="E1" s="20" t="str">
        <x:v>Title / Dataset</x:v>
      </x:c>
      <x:c r="F1" s="20" t="str">
        <x:v>Year</x:v>
      </x:c>
      <x:c r="G1" s="20" t="str">
        <x:v>Primary Authors / Source</x:v>
      </x:c>
      <x:c r="H1" s="20" t="str">
        <x:v>Modalities / Signals</x:v>
      </x:c>
      <x:c r="I1" s="20" t="str">
        <x:v>Group Setting</x:v>
      </x:c>
      <x:c r="J1" s="20" t="str">
        <x:v>Task / Paradigm</x:v>
      </x:c>
      <x:c r="K1" s="20" t="str">
        <x:v>Access Status</x:v>
      </x:c>
      <x:c r="L1" s="20" t="str">
        <x:v>Dataset / Access URL</x:v>
      </x:c>
      <x:c r="M1" s="20" t="str">
        <x:v>Paper / Reference URL</x:v>
      </x:c>
      <x:c r="N1" s="20" t="str">
        <x:v>Why Relevant to ARL</x:v>
      </x:c>
      <x:c r="O1" s="20" t="str">
        <x:v>ARL Gap / Difference</x:v>
      </x:c>
      <x:c r="P1" s="20" t="str">
        <x:v>Priority</x:v>
      </x:c>
      <x:c r="Q1" s="20" t="str">
        <x:v>Status</x:v>
      </x:c>
      <x:c r="R1" s="20" t="str">
        <x:v>Notes</x:v>
      </x:c>
    </x:row>
    <x:row r="2">
      <x:c r="A2" s="26" t="n">
        <x:v>2</x:v>
      </x:c>
      <x:c r="B2" s="26" t="str">
        <x:v>Tier 1</x:v>
      </x:c>
      <x:c r="C2" s="26" t="str">
        <x:v>Core multimodal datasets</x:v>
      </x:c>
      <x:c r="D2" s="26" t="str">
        <x:v>Dataset paper</x:v>
      </x:c>
      <x:c r="E2" s="26" t="str">
        <x:v>MAHNOB-HCI: A Multimodal Database for Affect Recognition and Implicit Tagging</x:v>
      </x:c>
      <x:c r="F2" s="26" t="n">
        <x:v>2011</x:v>
      </x:c>
      <x:c r="G2" s="26" t="str">
        <x:v>Soleymani et al.</x:v>
      </x:c>
      <x:c r="H2" s="26" t="str">
        <x:v>EEG; ECG; GSR; eye gaze; audio; video</x:v>
      </x:c>
      <x:c r="I2" s="26" t="str">
        <x:v>Individual</x:v>
      </x:c>
      <x:c r="J2" s="26" t="str">
        <x:v>Affective stimuli / implicit tagging</x:v>
      </x:c>
      <x:c r="K2" s="26" t="str">
        <x:v>Registration</x:v>
      </x:c>
      <x:c r="L2" s="26" t="str">
        <x:v>https://mahnob-db.eu/hci-tagging/</x:v>
      </x:c>
      <x:c r="M2" s="26" t="str">
        <x:v>https://ieeexplore.ieee.org/document/5975141/</x:v>
      </x:c>
      <x:c r="N2" s="26" t="str">
        <x:v>Classic multimodal physiology + audiovisual benchmark.</x:v>
      </x:c>
      <x:c r="O2" s="26" t="str">
        <x:v>Single participant; no group interaction or decision-making.</x:v>
      </x:c>
      <x:c r="P2" s="26" t="str">
        <x:v>Must read</x:v>
      </x:c>
      <x:c r="Q2" s="26" t="str">
        <x:v>To review</x:v>
      </x:c>
      <x:c r="R2" s="26" t="str">
        <x:v>Use for acquisition and metadata comparison</x:v>
      </x:c>
    </x:row>
    <x:row r="3">
      <x:c r="A3" s="26" t="n">
        <x:v>5</x:v>
      </x:c>
      <x:c r="B3" s="26" t="str">
        <x:v>Tier 1</x:v>
      </x:c>
      <x:c r="C3" s="26" t="str">
        <x:v>Core multimodal datasets</x:v>
      </x:c>
      <x:c r="D3" s="26" t="str">
        <x:v>Dataset paper</x:v>
      </x:c>
      <x:c r="E3" s="26" t="str">
        <x:v>GroupAffect-4: A Multimodal Dataset of Four-Person Collaborative Interaction</x:v>
      </x:c>
      <x:c r="F3" s="26" t="n">
        <x:v>2026</x:v>
      </x:c>
      <x:c r="G3" s="26" t="str">
        <x:v>Jamshidi Seikavandi et al.</x:v>
      </x:c>
      <x:c r="H3" s="26" t="str">
        <x:v>Wrist physiology; eye-tracking glasses; close-talk microphones; self-report; task outcomes</x:v>
      </x:c>
      <x:c r="I3" s="26" t="str">
        <x:v>Four-person groups</x:v>
      </x:c>
      <x:c r="J3" s="26" t="str">
        <x:v>Hidden-profile decision; negotiation; idea generation; public-goods game</x:v>
      </x:c>
      <x:c r="K3" s="26" t="str">
        <x:v>Public</x:v>
      </x:c>
      <x:c r="L3" s="26" t="str">
        <x:v>https://zenodo.org/records/20037847</x:v>
      </x:c>
      <x:c r="M3" s="26" t="str">
        <x:v>https://arxiv.org/abs/2605.19765</x:v>
      </x:c>
      <x:c r="N3" s="26" t="str">
        <x:v>Closest modern comparison for ARL group interaction and LSL-style synchronized multimodal collection.</x:v>
      </x:c>
      <x:c r="O3" s="26" t="str">
        <x:v>No EEG/EMG; not social deduction; four-person not five-person.</x:v>
      </x:c>
      <x:c r="P3" s="26" t="str">
        <x:v>Must read</x:v>
      </x:c>
      <x:c r="Q3" s="26" t="str">
        <x:v>To review</x:v>
      </x:c>
      <x:c r="R3" s="26" t="str">
        <x:v>Highest priority after ARL protocol</x:v>
      </x:c>
    </x:row>
    <x:row r="4">
      <x:c r="A4" s="26" t="n">
        <x:v>9</x:v>
      </x:c>
      <x:c r="B4" s="26" t="str">
        <x:v>Tier 1</x:v>
      </x:c>
      <x:c r="C4" s="26" t="str">
        <x:v>Eye tracking + EEG</x:v>
      </x:c>
      <x:c r="D4" s="26" t="str">
        <x:v>Dataset paper</x:v>
      </x:c>
      <x:c r="E4" s="26" t="str">
        <x:v>EEGEyeNet: Simultaneous EEG and Eye-tracking Dataset and Benchmark</x:v>
      </x:c>
      <x:c r="F4" s="26" t="n">
        <x:v>2021</x:v>
      </x:c>
      <x:c r="G4" s="26" t="str">
        <x:v>Kastrati et al.</x:v>
      </x:c>
      <x:c r="H4" s="26" t="str">
        <x:v>EEG; eye tracking</x:v>
      </x:c>
      <x:c r="I4" s="26" t="str">
        <x:v>Individual</x:v>
      </x:c>
      <x:c r="J4" s="26" t="str">
        <x:v>Eye movement prediction paradigms</x:v>
      </x:c>
      <x:c r="K4" s="26" t="str">
        <x:v>Public</x:v>
      </x:c>
      <x:c r="L4" s="26" t="str">
        <x:v>https://github.com/ardkastrati/EEGEyeNet</x:v>
      </x:c>
      <x:c r="M4" s="26" t="str">
        <x:v>https://arxiv.org/abs/2111.05100</x:v>
      </x:c>
      <x:c r="N4" s="26" t="str">
        <x:v>Important EEG-eye tracking synchronization and benchmark reference.</x:v>
      </x:c>
      <x:c r="O4" s="26" t="str">
        <x:v>No physiology beyond EEG; no interaction or decisions.</x:v>
      </x:c>
      <x:c r="P4" s="26" t="str">
        <x:v>High</x:v>
      </x:c>
      <x:c r="Q4" s="26" t="str">
        <x:v>To review</x:v>
      </x:c>
      <x:c r="R4" s="26" t="str">
        <x:v>Useful for EyeLogic + EEG preprocessing</x:v>
      </x:c>
    </x:row>
    <x:row r="5">
      <x:c r="A5" s="26" t="n">
        <x:v>18</x:v>
      </x:c>
      <x:c r="B5" s="26" t="str">
        <x:v>Tier 2</x:v>
      </x:c>
      <x:c r="C5" s="26" t="str">
        <x:v>EEG emotion datasets</x:v>
      </x:c>
      <x:c r="D5" s="26" t="str">
        <x:v>Dataset paper</x:v>
      </x:c>
      <x:c r="E5" s="26" t="str">
        <x:v>SEED-IV: Multimodal Emotion Dataset with Four Emotion Categories</x:v>
      </x:c>
      <x:c r="F5" s="26" t="n">
        <x:v>2018</x:v>
      </x:c>
      <x:c r="G5" s="26" t="str">
        <x:v>Zheng et al.</x:v>
      </x:c>
      <x:c r="H5" s="26" t="str">
        <x:v>EEG; eye movement</x:v>
      </x:c>
      <x:c r="I5" s="26" t="str">
        <x:v>Individual</x:v>
      </x:c>
      <x:c r="J5" s="26" t="str">
        <x:v>Emotion film clips</x:v>
      </x:c>
      <x:c r="K5" s="26" t="str">
        <x:v>Research access</x:v>
      </x:c>
      <x:c r="L5" s="26" t="str">
        <x:v>https://bcmi.sjtu.edu.cn/home/seed/</x:v>
      </x:c>
      <x:c r="M5" s="26" t="str">
        <x:v>https://ieeexplore.ieee.org/document/8373816/</x:v>
      </x:c>
      <x:c r="N5" s="26" t="str">
        <x:v>EEG + eye movement emotion benchmark.</x:v>
      </x:c>
      <x:c r="O5" s="26" t="str">
        <x:v>No social interaction or peripheral physiology.</x:v>
      </x:c>
      <x:c r="P5" s="26" t="str">
        <x:v>Medium</x:v>
      </x:c>
      <x:c r="Q5" s="26" t="str">
        <x:v>To review</x:v>
      </x:c>
      <x:c r="R5" s="26" t="str">
        <x:v>Useful for EEG-eye comparison</x:v>
      </x:c>
    </x:row>
    <x:row r="6">
      <x:c r="A6" s="26" t="n">
        <x:v>19</x:v>
      </x:c>
      <x:c r="B6" s="26" t="str">
        <x:v>Tier 2</x:v>
      </x:c>
      <x:c r="C6" s="26" t="str">
        <x:v>EEG + eye tracking datasets</x:v>
      </x:c>
      <x:c r="D6" s="26" t="str">
        <x:v>Dataset paper</x:v>
      </x:c>
      <x:c r="E6" s="26" t="str">
        <x:v>Consumer-grade EEG-based Eye Tracking Dataset</x:v>
      </x:c>
      <x:c r="F6" s="26" t="n">
        <x:v>2025</x:v>
      </x:c>
      <x:c r="G6" s="26" t="str">
        <x:v>Authors TBD</x:v>
      </x:c>
      <x:c r="H6" s="26" t="str">
        <x:v>Consumer EEG; webcam eye tracking</x:v>
      </x:c>
      <x:c r="I6" s="26" t="str">
        <x:v>Individual</x:v>
      </x:c>
      <x:c r="J6" s="26" t="str">
        <x:v>Eye movement paradigms</x:v>
      </x:c>
      <x:c r="K6" s="26" t="str">
        <x:v>Likely public</x:v>
      </x:c>
      <x:c r="L6" s="26" t="str">
        <x:v>https://arxiv.org/html/2503.14322v1</x:v>
      </x:c>
      <x:c r="M6" s="26" t="str">
        <x:v>https://arxiv.org/html/2503.14322v1</x:v>
      </x:c>
      <x:c r="N6" s="26" t="str">
        <x:v>Relevant to low-cost EEG + webcam/eye tracking synchronization.</x:v>
      </x:c>
      <x:c r="O6" s="26" t="str">
        <x:v>No physiology/group task; details need verification.</x:v>
      </x:c>
      <x:c r="P6" s="26" t="str">
        <x:v>Medium</x:v>
      </x:c>
      <x:c r="Q6" s="26" t="str">
        <x:v>To verify</x:v>
      </x:c>
      <x:c r="R6" s="26" t="str">
        <x:v>Useful if EyeLogic constraints become important</x:v>
      </x:c>
    </x:row>
    <x:row r="7">
      <x:c r="A7" s="26" t="n">
        <x:v>20</x:v>
      </x:c>
      <x:c r="B7" s="26" t="str">
        <x:v>Tier 2</x:v>
      </x:c>
      <x:c r="C7" s="26" t="str">
        <x:v>EEG + eye tracking datasets</x:v>
      </x:c>
      <x:c r="D7" s="26" t="str">
        <x:v>Dataset paper</x:v>
      </x:c>
      <x:c r="E7" s="26" t="str">
        <x:v>Ocular Activity Dataset: EEG, Eye-tracking, and High-speed Video</x:v>
      </x:c>
      <x:c r="F7" s="26" t="n">
        <x:v>2025</x:v>
      </x:c>
      <x:c r="G7" s="26" t="str">
        <x:v>Guttmann-Flury et al.</x:v>
      </x:c>
      <x:c r="H7" s="26" t="str">
        <x:v>EEG; eye tracking; high-speed video</x:v>
      </x:c>
      <x:c r="I7" s="26" t="str">
        <x:v>Individual</x:v>
      </x:c>
      <x:c r="J7" s="26" t="str">
        <x:v>Ocular behavior / mental states</x:v>
      </x:c>
      <x:c r="K7" s="26" t="str">
        <x:v>Public</x:v>
      </x:c>
      <x:c r="L7" s="26" t="str">
        <x:v>https://pmc.ncbi.nlm.nih.gov/articles/PMC11978869/</x:v>
      </x:c>
      <x:c r="M7" s="26" t="str">
        <x:v>https://pmc.ncbi.nlm.nih.gov/articles/PMC11978869/</x:v>
      </x:c>
      <x:c r="N7" s="26" t="str">
        <x:v>Good multimodal eye/EEG/video reference.</x:v>
      </x:c>
      <x:c r="O7" s="26" t="str">
        <x:v>No group decision or physiology.</x:v>
      </x:c>
      <x:c r="P7" s="26" t="str">
        <x:v>Medium</x:v>
      </x:c>
      <x:c r="Q7" s="26" t="str">
        <x:v>To review</x:v>
      </x:c>
      <x:c r="R7" s="26" t="str">
        <x:v>Useful for ocular artifact handling</x:v>
      </x:c>
    </x:row>
    <x:row r="8">
      <x:c r="A8" s="26" t="n">
        <x:v>49</x:v>
      </x:c>
      <x:c r="B8" s="26" t="str">
        <x:v>Tier 4</x:v>
      </x:c>
      <x:c r="C8" s="26" t="str">
        <x:v>Acquisition/synchronization</x:v>
      </x:c>
      <x:c r="D8" s="26" t="str">
        <x:v>Software/tool paper</x:v>
      </x:c>
      <x:c r="E8" s="26" t="str">
        <x:v>EYE-EEG: Synchronization and Analysis of Eye Tracking and EEG Data</x:v>
      </x:c>
      <x:c r="F8" s="26" t="n">
        <x:v>2014</x:v>
      </x:c>
      <x:c r="G8" s="26" t="str">
        <x:v>Dimigen et al.</x:v>
      </x:c>
      <x:c r="H8" s="26" t="str">
        <x:v>EEG; eye tracking synchronization/software</x:v>
      </x:c>
      <x:c r="I8" s="26" t="str">
        <x:v>Individual</x:v>
      </x:c>
      <x:c r="J8" s="26" t="str">
        <x:v>EEG-eye co-registration</x:v>
      </x:c>
      <x:c r="K8" s="26" t="str">
        <x:v>Open software/resources</x:v>
      </x:c>
      <x:c r="L8" s="26" t="str">
        <x:v>https://www.eyetracking-eeg.org/</x:v>
      </x:c>
      <x:c r="M8" s="26" t="str">
        <x:v>https://link.springer.com/article/10.3758/s13428-013-0429-3</x:v>
      </x:c>
      <x:c r="N8" s="26" t="str">
        <x:v>Important for ARL EEG + EyeLogic preprocessing strategy.</x:v>
      </x:c>
      <x:c r="O8" s="26" t="str">
        <x:v>Not group/multimodal physiology beyond EEG-eye.</x:v>
      </x:c>
      <x:c r="P8" s="26" t="str">
        <x:v>High</x:v>
      </x:c>
      <x:c r="Q8" s="26" t="str">
        <x:v>To review</x:v>
      </x:c>
      <x:c r="R8" s="26" t="str">
        <x:v>Useful for preprocessing pipeline</x:v>
      </x:c>
    </x:row>
  </x:sheetData>
  <x:conditionalFormatting sqref="P2:P8">
    <x:cfRule type="expression" dxfId="15" priority="1">
      <x:formula>P2="Must read"</x:formula>
    </x:cfRule>
    <x:cfRule type="expression" dxfId="16" priority="2">
      <x:formula>P2="High"</x:formula>
    </x:cfRule>
  </x:conditionalFormatting>
  <x:conditionalFormatting sqref="Q2:Q8">
    <x:cfRule type="expression" dxfId="17" priority="3">
      <x:formula>Q2="To verify"</x:formula>
    </x:cfRule>
  </x:conditionalFormatting>
  <x:dataValidations count="2">
    <x:dataValidation type="list" sqref="P2:P8">
      <x:formula1>"Must read,High,Medium,Low"</x:formula1>
    </x:dataValidation>
    <x:dataValidation type="list" sqref="Q2:Q8">
      <x:formula1>"To review,Reviewed,To verify,Downloaded,Requested access,Not relevant"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2e19be0256424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22" hidden="0" customWidth="1"/>
    <x:col min="4" max="4" width="18" hidden="0" customWidth="1"/>
    <x:col min="5" max="5" width="42" hidden="0" customWidth="1"/>
    <x:col min="6" max="6" width="8" hidden="0" customWidth="1"/>
    <x:col min="7" max="7" width="28" hidden="0" customWidth="1"/>
    <x:col min="8" max="8" width="34" hidden="0" customWidth="1"/>
    <x:col min="9" max="9" width="18" hidden="0" customWidth="1"/>
    <x:col min="10" max="10" width="28" hidden="0" customWidth="1"/>
    <x:col min="11" max="11" width="18" hidden="0" customWidth="1"/>
    <x:col min="12" max="12" width="38" hidden="0" customWidth="1"/>
    <x:col min="13" max="13" width="38" hidden="0" customWidth="1"/>
    <x:col min="14" max="14" width="42" hidden="0" customWidth="1"/>
    <x:col min="15" max="15" width="36" hidden="0" customWidth="1"/>
    <x:col min="16" max="16" width="12" hidden="0" customWidth="1"/>
    <x:col min="17" max="17" width="14" hidden="0" customWidth="1"/>
    <x:col min="18" max="18" width="28" hidden="0" customWidth="1"/>
  </x:cols>
  <x:sheetData>
    <x:row r="1" ht="36" customHeight="1">
      <x:c r="A1" s="20" t="str">
        <x:v>ID</x:v>
      </x:c>
      <x:c r="B1" s="20" t="str">
        <x:v>Tier</x:v>
      </x:c>
      <x:c r="C1" s="20" t="str">
        <x:v>Category</x:v>
      </x:c>
      <x:c r="D1" s="20" t="str">
        <x:v>Type</x:v>
      </x:c>
      <x:c r="E1" s="20" t="str">
        <x:v>Title / Dataset</x:v>
      </x:c>
      <x:c r="F1" s="20" t="str">
        <x:v>Year</x:v>
      </x:c>
      <x:c r="G1" s="20" t="str">
        <x:v>Primary Authors / Source</x:v>
      </x:c>
      <x:c r="H1" s="20" t="str">
        <x:v>Modalities / Signals</x:v>
      </x:c>
      <x:c r="I1" s="20" t="str">
        <x:v>Group Setting</x:v>
      </x:c>
      <x:c r="J1" s="20" t="str">
        <x:v>Task / Paradigm</x:v>
      </x:c>
      <x:c r="K1" s="20" t="str">
        <x:v>Access Status</x:v>
      </x:c>
      <x:c r="L1" s="20" t="str">
        <x:v>Dataset / Access URL</x:v>
      </x:c>
      <x:c r="M1" s="20" t="str">
        <x:v>Paper / Reference URL</x:v>
      </x:c>
      <x:c r="N1" s="20" t="str">
        <x:v>Why Relevant to ARL</x:v>
      </x:c>
      <x:c r="O1" s="20" t="str">
        <x:v>ARL Gap / Difference</x:v>
      </x:c>
      <x:c r="P1" s="20" t="str">
        <x:v>Priority</x:v>
      </x:c>
      <x:c r="Q1" s="20" t="str">
        <x:v>Status</x:v>
      </x:c>
      <x:c r="R1" s="20" t="str">
        <x:v>Notes</x:v>
      </x:c>
    </x:row>
    <x:row r="2">
      <x:c r="A2" s="26" t="n">
        <x:v>10</x:v>
      </x:c>
      <x:c r="B2" s="26" t="str">
        <x:v>Tier 1</x:v>
      </x:c>
      <x:c r="C2" s="26" t="str">
        <x:v>Synchronization platform</x:v>
      </x:c>
      <x:c r="D2" s="26" t="str">
        <x:v>Platform paper</x:v>
      </x:c>
      <x:c r="E2" s="26" t="str">
        <x:v>The Lab Streaming Layer for Synchronized Multimodal Recording</x:v>
      </x:c>
      <x:c r="F2" s="26" t="n">
        <x:v>2025</x:v>
      </x:c>
      <x:c r="G2" s="26" t="str">
        <x:v>Kothe et al.</x:v>
      </x:c>
      <x:c r="H2" s="26" t="str">
        <x:v>Software framework for multimodal time synchronization</x:v>
      </x:c>
      <x:c r="I2" s="26" t="str">
        <x:v>Any</x:v>
      </x:c>
      <x:c r="J2" s="26" t="str">
        <x:v>Synchronized recording framework</x:v>
      </x:c>
      <x:c r="K2" s="26" t="str">
        <x:v>Open source</x:v>
      </x:c>
      <x:c r="L2" s="26" t="str">
        <x:v>https://labstreaminglayer.org/</x:v>
      </x:c>
      <x:c r="M2" s="26" t="str">
        <x:v>https://direct.mit.edu/imag/article/doi/10.1162/IMAG.a.136/132678/The-lab-streaming-layer-for-synchronized</x:v>
      </x:c>
      <x:c r="N2" s="26" t="str">
        <x:v>Core technical citation for ARL acquisition architecture.</x:v>
      </x:c>
      <x:c r="O2" s="26" t="str">
        <x:v>Not a dataset; supports infrastructure rather than task design.</x:v>
      </x:c>
      <x:c r="P2" s="26" t="str">
        <x:v>Must read</x:v>
      </x:c>
      <x:c r="Q2" s="26" t="str">
        <x:v>To review</x:v>
      </x:c>
      <x:c r="R2" s="26" t="str">
        <x:v>Must cite in ARL platform section</x:v>
      </x:c>
    </x:row>
    <x:row r="3">
      <x:c r="A3" s="26" t="n">
        <x:v>49</x:v>
      </x:c>
      <x:c r="B3" s="26" t="str">
        <x:v>Tier 4</x:v>
      </x:c>
      <x:c r="C3" s="26" t="str">
        <x:v>Acquisition/synchronization</x:v>
      </x:c>
      <x:c r="D3" s="26" t="str">
        <x:v>Software/tool paper</x:v>
      </x:c>
      <x:c r="E3" s="26" t="str">
        <x:v>EYE-EEG: Synchronization and Analysis of Eye Tracking and EEG Data</x:v>
      </x:c>
      <x:c r="F3" s="26" t="n">
        <x:v>2014</x:v>
      </x:c>
      <x:c r="G3" s="26" t="str">
        <x:v>Dimigen et al.</x:v>
      </x:c>
      <x:c r="H3" s="26" t="str">
        <x:v>EEG; eye tracking synchronization/software</x:v>
      </x:c>
      <x:c r="I3" s="26" t="str">
        <x:v>Individual</x:v>
      </x:c>
      <x:c r="J3" s="26" t="str">
        <x:v>EEG-eye co-registration</x:v>
      </x:c>
      <x:c r="K3" s="26" t="str">
        <x:v>Open software/resources</x:v>
      </x:c>
      <x:c r="L3" s="26" t="str">
        <x:v>https://www.eyetracking-eeg.org/</x:v>
      </x:c>
      <x:c r="M3" s="26" t="str">
        <x:v>https://link.springer.com/article/10.3758/s13428-013-0429-3</x:v>
      </x:c>
      <x:c r="N3" s="26" t="str">
        <x:v>Important for ARL EEG + EyeLogic preprocessing strategy.</x:v>
      </x:c>
      <x:c r="O3" s="26" t="str">
        <x:v>Not group/multimodal physiology beyond EEG-eye.</x:v>
      </x:c>
      <x:c r="P3" s="26" t="str">
        <x:v>High</x:v>
      </x:c>
      <x:c r="Q3" s="26" t="str">
        <x:v>To review</x:v>
      </x:c>
      <x:c r="R3" s="26" t="str">
        <x:v>Useful for preprocessing pipeline</x:v>
      </x:c>
    </x:row>
    <x:row r="4">
      <x:c r="A4" s="26" t="n">
        <x:v>50</x:v>
      </x:c>
      <x:c r="B4" s="26" t="str">
        <x:v>Tier 4</x:v>
      </x:c>
      <x:c r="C4" s="26" t="str">
        <x:v>Acquisition/synchronization</x:v>
      </x:c>
      <x:c r="D4" s="26" t="str">
        <x:v>Standard/spec paper</x:v>
      </x:c>
      <x:c r="E4" s="26" t="str">
        <x:v>Brain Imaging Data Structure (BIDS) and Extensions for EEG/iEEG/physiology</x:v>
      </x:c>
      <x:c r="F4" s="26" t="n">
        <x:v>2016</x:v>
      </x:c>
      <x:c r="G4" s="26" t="str">
        <x:v>Gorgolewski et al. / BIDS community</x:v>
      </x:c>
      <x:c r="H4" s="26" t="str">
        <x:v>Data standard / metadata</x:v>
      </x:c>
      <x:c r="I4" s="26" t="str">
        <x:v>Any</x:v>
      </x:c>
      <x:c r="J4" s="26" t="str">
        <x:v>Neuroimaging data organization</x:v>
      </x:c>
      <x:c r="K4" s="26" t="str">
        <x:v>Open</x:v>
      </x:c>
      <x:c r="L4" s="26" t="str">
        <x:v>https://bids.neuroimaging.io/</x:v>
      </x:c>
      <x:c r="M4" s="26" t="str">
        <x:v>https://www.nature.com/articles/sdata201644</x:v>
      </x:c>
      <x:c r="N4" s="26" t="str">
        <x:v>Important for ARL dataset organization and metadata standardization.</x:v>
      </x:c>
      <x:c r="O4" s="26" t="str">
        <x:v>Not a dataset; ARL may need BIDS-inspired not fully BIDS.</x:v>
      </x:c>
      <x:c r="P4" s="26" t="str">
        <x:v>High</x:v>
      </x:c>
      <x:c r="Q4" s="26" t="str">
        <x:v>To review</x:v>
      </x:c>
      <x:c r="R4" s="26" t="str">
        <x:v>Must consider for Scientific Data release</x:v>
      </x:c>
    </x:row>
  </x:sheetData>
  <x:conditionalFormatting sqref="P2:P4">
    <x:cfRule type="expression" dxfId="18" priority="1">
      <x:formula>P2="Must read"</x:formula>
    </x:cfRule>
    <x:cfRule type="expression" dxfId="19" priority="2">
      <x:formula>P2="High"</x:formula>
    </x:cfRule>
  </x:conditionalFormatting>
  <x:conditionalFormatting sqref="Q2:Q4">
    <x:cfRule type="expression" dxfId="20" priority="3">
      <x:formula>Q2="To verify"</x:formula>
    </x:cfRule>
  </x:conditionalFormatting>
  <x:dataValidations count="2">
    <x:dataValidation type="list" sqref="P2:P4">
      <x:formula1>"Must read,High,Medium,Low"</x:formula1>
    </x:dataValidation>
    <x:dataValidation type="list" sqref="Q2:Q4">
      <x:formula1>"To review,Reviewed,To verify,Downloaded,Requested access,Not relevant"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bfacd8023a46a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55" hidden="0" customWidth="1"/>
    <x:col min="5" max="5" width="8" hidden="0" customWidth="1"/>
    <x:col min="6" max="6" width="42" hidden="0" customWidth="1"/>
    <x:col min="7" max="7" width="55" hidden="0" customWidth="1"/>
  </x:cols>
  <x:sheetData>
    <x:row r="1" ht="30" customHeight="1">
      <x:c r="A1" s="30" t="str">
        <x:v>ARL Research Repository v1.0 — Dashboard</x:v>
      </x:c>
    </x:row>
    <x:row r="3">
      <x:c r="A3" s="17" t="str">
        <x:v>Metric</x:v>
      </x:c>
      <x:c r="B3" s="17" t="str">
        <x:v>Value</x:v>
      </x:c>
      <x:c r="C3" s="17" t="str">
        <x:v>Notes</x:v>
      </x:c>
      <x:c r="E3" s="34" t="str">
        <x:v>Rank</x:v>
      </x:c>
      <x:c r="F3" s="34" t="str">
        <x:v>Entry</x:v>
      </x:c>
      <x:c r="G3" s="34" t="str">
        <x:v>Reason</x:v>
      </x:c>
    </x:row>
    <x:row r="4">
      <x:c r="A4" s="13" t="str">
        <x:v>Total entries</x:v>
      </x:c>
      <x:c r="B4" s="13" t="n">
        <x:v>50</x:v>
      </x:c>
      <x:c r="C4" s="13" t="str">
        <x:v>First curated seed set</x:v>
      </x:c>
      <x:c r="E4" s="13" t="n">
        <x:v>1</x:v>
      </x:c>
      <x:c r="F4" s="13" t="str">
        <x:v>GroupAffect-4</x:v>
      </x:c>
      <x:c r="G4" s="13" t="str">
        <x:v>Closest modern group interaction + multimodal acquisition comparison</x:v>
      </x:c>
    </x:row>
    <x:row r="5">
      <x:c r="A5" s="13" t="str">
        <x:v>Must-read entries</x:v>
      </x:c>
      <x:c r="B5" s="13" t="n">
        <x:f>COUNTIF(Master_50!P:P,"Must read")</x:f>
        <x:v>6</x:v>
      </x:c>
      <x:c r="C5" s="13" t="str">
        <x:v>Directly shape ARL paper</x:v>
      </x:c>
      <x:c r="E5" s="13" t="n">
        <x:v>2</x:v>
      </x:c>
      <x:c r="F5" s="13" t="str">
        <x:v>AMIGOS</x:v>
      </x:c>
      <x:c r="G5" s="13" t="str">
        <x:v>Closest wearable physiology + group affect dataset</x:v>
      </x:c>
    </x:row>
    <x:row r="6">
      <x:c r="A6" s="13" t="str">
        <x:v>High-priority entries</x:v>
      </x:c>
      <x:c r="B6" s="13" t="n">
        <x:f>COUNTIF(Master_50!P:P,"High")</x:f>
        <x:v>15</x:v>
      </x:c>
      <x:c r="C6" s="13" t="str">
        <x:v>Strong likely citations</x:v>
      </x:c>
      <x:c r="E6" s="13" t="n">
        <x:v>3</x:v>
      </x:c>
      <x:c r="F6" s="13" t="str">
        <x:v>K-EmoCon</x:v>
      </x:c>
      <x:c r="G6" s="13" t="str">
        <x:v>Closest naturalistic conversational physiology dataset</x:v>
      </x:c>
    </x:row>
    <x:row r="7">
      <x:c r="A7" s="13" t="str">
        <x:v>Needs verification</x:v>
      </x:c>
      <x:c r="B7" s="13" t="n">
        <x:f>COUNTIF(Master_50!Q:Q,"To verify")</x:f>
        <x:v>13</x:v>
      </x:c>
      <x:c r="C7" s="13" t="str">
        <x:v>Check before final citation</x:v>
      </x:c>
      <x:c r="E7" s="13" t="n">
        <x:v>4</x:v>
      </x:c>
      <x:c r="F7" s="13" t="str">
        <x:v>MAHNOB-HCI</x:v>
      </x:c>
      <x:c r="G7" s="13" t="str">
        <x:v>Classic multimodal acquisition and affect dataset</x:v>
      </x:c>
    </x:row>
    <x:row r="8">
      <x:c r="A8" s="13" t="str">
        <x:v>Dataset papers</x:v>
      </x:c>
      <x:c r="B8" s="13" t="n">
        <x:f>COUNTIF(Master_50!D:D,"Dataset paper")</x:f>
        <x:v>36</x:v>
      </x:c>
      <x:c r="C8" s="13" t="str">
        <x:v>Dataset-centered entries</x:v>
      </x:c>
      <x:c r="E8" s="13" t="n">
        <x:v>5</x:v>
      </x:c>
      <x:c r="F8" s="13" t="str">
        <x:v>DEAP</x:v>
      </x:c>
      <x:c r="G8" s="13" t="str">
        <x:v>Canonical physiological emotion benchmark</x:v>
      </x:c>
    </x:row>
    <x:row r="9">
      <x:c r="A9" s="13" t="str">
        <x:v>Platform/standards</x:v>
      </x:c>
      <x:c r="B9" s="13" t="n">
        <x:f>COUNTIF(Master_50!D:D,"Platform paper")+COUNTIF(Master_50!D:D,"Software/tool paper")+COUNTIF(Master_50!D:D,"Standard/spec paper")</x:f>
        <x:v>3</x:v>
      </x:c>
      <x:c r="C9" s="13" t="str">
        <x:v>Infrastructure references</x:v>
      </x:c>
      <x:c r="E9" s="13" t="n">
        <x:v>6</x:v>
      </x:c>
      <x:c r="F9" s="13" t="str">
        <x:v>RECOLA</x:v>
      </x:c>
      <x:c r="G9" s="13" t="str">
        <x:v>Synchronized dyadic collaboration with ECG/EDA/audio/video</x:v>
      </x:c>
    </x:row>
    <x:row r="10">
      <x:c r="E10" s="13" t="n">
        <x:v>7</x:v>
      </x:c>
      <x:c r="F10" s="13" t="str">
        <x:v>EEG three-person Prisoner's Dilemma OpenNeuro</x:v>
      </x:c>
      <x:c r="G10" s="13" t="str">
        <x:v>Closest group decision + EEG dataset</x:v>
      </x:c>
    </x:row>
    <x:row r="11">
      <x:c r="E11" s="13" t="n">
        <x:v>8</x:v>
      </x:c>
      <x:c r="F11" s="13" t="str">
        <x:v>Competitive two-player deception EEG dataset</x:v>
      </x:c>
      <x:c r="G11" s="13" t="str">
        <x:v>Closest deception + EEG dataset</x:v>
      </x:c>
    </x:row>
    <x:row r="12">
      <x:c r="E12" s="13" t="n">
        <x:v>9</x:v>
      </x:c>
      <x:c r="F12" s="13" t="str">
        <x:v>Box of Lies</x:v>
      </x:c>
      <x:c r="G12" s="13" t="str">
        <x:v>Closest multimodal deception dialogue reference</x:v>
      </x:c>
    </x:row>
    <x:row r="13">
      <x:c r="E13" s="13" t="n">
        <x:v>10</x:v>
      </x:c>
      <x:c r="F13" s="13" t="str">
        <x:v>LSL reference paper</x:v>
      </x:c>
      <x:c r="G13" s="13" t="str">
        <x:v>Core synchronization architecture citation</x:v>
      </x:c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8" hidden="0" customWidth="1"/>
    <x:col min="3" max="3" width="50" hidden="0" customWidth="1"/>
    <x:col min="4" max="4" width="30" hidden="0" customWidth="1"/>
  </x:cols>
  <x:sheetData>
    <x:row r="1">
      <x:c r="A1" s="40" t="str">
        <x:v>ARL dimension</x:v>
      </x:c>
      <x:c r="B1" s="40" t="str">
        <x:v>Existing literature coverage</x:v>
      </x:c>
      <x:c r="C1" s="40" t="str">
        <x:v>Why ARL is distinct</x:v>
      </x:c>
      <x:c r="D1" s="40" t="str">
        <x:v>Potential paper section</x:v>
      </x:c>
    </x:row>
    <x:row r="2">
      <x:c r="A2" t="str">
        <x:v>Five-person interaction</x:v>
      </x:c>
      <x:c r="B2" t="str">
        <x:v>Most datasets are individual, dyadic, or four-person</x:v>
      </x:c>
      <x:c r="C2" t="str">
        <x:v>ARL targets five simultaneous participants in a social deduction game</x:v>
      </x:c>
      <x:c r="D2" t="str">
        <x:v>Introduction / Related Work</x:v>
      </x:c>
    </x:row>
    <x:row r="3">
      <x:c r="A3" t="str">
        <x:v>Six+ synchronized modalities</x:v>
      </x:c>
      <x:c r="B3" t="str">
        <x:v>Few datasets combine EEG, ECG, GSR, EMG, eye, audio, video together</x:v>
      </x:c>
      <x:c r="C3" t="str">
        <x:v>ARL integrates per-participant physiology, gaze, audio/video, and behavioral events</x:v>
      </x:c>
      <x:c r="D3" t="str">
        <x:v>Dataset Design</x:v>
      </x:c>
    </x:row>
    <x:row r="4">
      <x:c r="A4" t="str">
        <x:v>Social deception</x:v>
      </x:c>
      <x:c r="B4" t="str">
        <x:v>Deception datasets often lack physiology or are dyadic</x:v>
      </x:c>
      <x:c r="C4" t="str">
        <x:v>ARL embeds deception in live group reasoning and voting</x:v>
      </x:c>
      <x:c r="D4" t="str">
        <x:v>Experimental Paradigm</x:v>
      </x:c>
    </x:row>
    <x:row r="5">
      <x:c r="A5" t="str">
        <x:v>Round-by-round belief updating</x:v>
      </x:c>
      <x:c r="B5" t="str">
        <x:v>Decision datasets often use isolated trials</x:v>
      </x:c>
      <x:c r="C5" t="str">
        <x:v>ARL captures changing suspicion, confidence, and reasoning across rounds</x:v>
      </x:c>
      <x:c r="D5" t="str">
        <x:v>Behavioral Measures</x:v>
      </x:c>
    </x:row>
    <x:row r="6">
      <x:c r="A6" t="str">
        <x:v>Moderator-controlled real-time acquisition</x:v>
      </x:c>
      <x:c r="B6" t="str">
        <x:v>Most datasets focus on post-hoc data, not acquisition architecture</x:v>
      </x:c>
      <x:c r="C6" t="str">
        <x:v>ARL includes software platform, LSL markers, recovery, and synchronized logs</x:v>
      </x:c>
      <x:c r="D6" t="str">
        <x:v>Methods / Technical Validation</x:v>
      </x:c>
    </x:row>
    <x:row r="7">
      <x:c r="A7" t="str">
        <x:v>Quality-aware missing-modality analysis</x:v>
      </x:c>
      <x:c r="B7" t="str">
        <x:v>Many datasets assume complete modalities</x:v>
      </x:c>
      <x:c r="C7" t="str">
        <x:v>ARL is designed for realistic missingness in multi-participant wearable sensing</x:v>
      </x:c>
      <x:c r="D7" t="str">
        <x:v>Usage Notes / Benchmarking</x:v>
      </x:c>
    </x:row>
  </x:sheetData>
  <x:pageMargins left="0.7" right="0.7" top="0.75" bottom="0.75" header="0.3" footer="0.3"/>
</x:worksheet>
</file>